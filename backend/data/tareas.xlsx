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oel/Downloads/"/>
    </mc:Choice>
  </mc:AlternateContent>
  <xr:revisionPtr revIDLastSave="0" documentId="13_ncr:1_{328B9005-C152-E044-92C6-E7A659B516FD}" xr6:coauthVersionLast="47" xr6:coauthVersionMax="47" xr10:uidLastSave="{00000000-0000-0000-0000-000000000000}"/>
  <bookViews>
    <workbookView xWindow="0" yWindow="780" windowWidth="36000" windowHeight="22600" tabRatio="667" xr2:uid="{8BEF1B97-D17C-46CC-A3F4-5743F02B7059}"/>
  </bookViews>
  <sheets>
    <sheet name="Planilla" sheetId="1" r:id="rId1"/>
  </sheets>
  <definedNames>
    <definedName name="_xlnm._FilterDatabase" localSheetId="0" hidden="1">Planilla!$A$2:$X$503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9" i="1" l="1"/>
  <c r="R99" i="1"/>
  <c r="Q99" i="1"/>
  <c r="N99" i="1"/>
  <c r="M99" i="1"/>
  <c r="B99" i="1"/>
  <c r="S91" i="1"/>
  <c r="R91" i="1"/>
  <c r="Q91" i="1"/>
  <c r="N91" i="1"/>
  <c r="M91" i="1"/>
  <c r="B91" i="1"/>
  <c r="O99" i="1" l="1"/>
  <c r="P99" i="1" s="1"/>
  <c r="O91" i="1"/>
  <c r="P91" i="1" s="1"/>
  <c r="C99" i="1"/>
  <c r="C91" i="1"/>
  <c r="S69" i="1"/>
  <c r="R69" i="1"/>
  <c r="S68" i="1"/>
  <c r="R68" i="1"/>
  <c r="Q68" i="1"/>
  <c r="N68" i="1"/>
  <c r="M68" i="1"/>
  <c r="B68" i="1"/>
  <c r="S67" i="1"/>
  <c r="R67" i="1"/>
  <c r="N67" i="1"/>
  <c r="M67" i="1"/>
  <c r="B67" i="1"/>
  <c r="C67" i="1" s="1"/>
  <c r="S66" i="1"/>
  <c r="R66" i="1"/>
  <c r="Q66" i="1"/>
  <c r="N66" i="1"/>
  <c r="M66" i="1"/>
  <c r="B66" i="1"/>
  <c r="C66" i="1" s="1"/>
  <c r="O66" i="1" l="1"/>
  <c r="P66" i="1" s="1"/>
  <c r="O67" i="1"/>
  <c r="O68" i="1"/>
  <c r="P68" i="1" s="1"/>
  <c r="C68" i="1"/>
  <c r="P67" i="1" l="1"/>
  <c r="Q67" i="1"/>
  <c r="N3" i="1" l="1"/>
  <c r="Q3" i="1"/>
  <c r="R3" i="1"/>
  <c r="S3" i="1"/>
  <c r="N13" i="1"/>
  <c r="Q13" i="1"/>
  <c r="R13" i="1"/>
  <c r="S13" i="1"/>
  <c r="N14" i="1"/>
  <c r="Q14" i="1"/>
  <c r="R14" i="1"/>
  <c r="S14" i="1"/>
  <c r="N15" i="1"/>
  <c r="R15" i="1"/>
  <c r="S15" i="1"/>
  <c r="N16" i="1"/>
  <c r="Q16" i="1"/>
  <c r="R16" i="1"/>
  <c r="S16" i="1"/>
  <c r="N17" i="1"/>
  <c r="R17" i="1"/>
  <c r="S17" i="1"/>
  <c r="N18" i="1"/>
  <c r="Q18" i="1"/>
  <c r="R18" i="1"/>
  <c r="S18" i="1"/>
  <c r="R19" i="1"/>
  <c r="S19" i="1"/>
  <c r="N20" i="1"/>
  <c r="Q20" i="1"/>
  <c r="R20" i="1"/>
  <c r="S20" i="1"/>
  <c r="N21" i="1"/>
  <c r="R21" i="1"/>
  <c r="S21" i="1"/>
  <c r="N22" i="1"/>
  <c r="R22" i="1"/>
  <c r="S22" i="1"/>
  <c r="N23" i="1"/>
  <c r="R23" i="1"/>
  <c r="S23" i="1"/>
  <c r="N24" i="1"/>
  <c r="R24" i="1"/>
  <c r="S24" i="1"/>
  <c r="N25" i="1"/>
  <c r="R25" i="1"/>
  <c r="S25" i="1"/>
  <c r="M26" i="1"/>
  <c r="N26" i="1"/>
  <c r="Q26" i="1"/>
  <c r="R26" i="1"/>
  <c r="S26" i="1"/>
  <c r="N27" i="1"/>
  <c r="R27" i="1"/>
  <c r="S27" i="1"/>
  <c r="N28" i="1"/>
  <c r="Q28" i="1"/>
  <c r="R28" i="1"/>
  <c r="S28" i="1"/>
  <c r="N29" i="1"/>
  <c r="R29" i="1"/>
  <c r="S29" i="1"/>
  <c r="Q30" i="1"/>
  <c r="R30" i="1"/>
  <c r="S30" i="1"/>
  <c r="N31" i="1"/>
  <c r="Q31" i="1"/>
  <c r="R31" i="1"/>
  <c r="S31" i="1"/>
  <c r="N32" i="1"/>
  <c r="R32" i="1"/>
  <c r="S32" i="1"/>
  <c r="Q33" i="1"/>
  <c r="R33" i="1"/>
  <c r="S33" i="1"/>
  <c r="N34" i="1"/>
  <c r="Q34" i="1"/>
  <c r="R34" i="1"/>
  <c r="S34" i="1"/>
  <c r="N35" i="1"/>
  <c r="Q35" i="1"/>
  <c r="R35" i="1"/>
  <c r="S35" i="1"/>
  <c r="N36" i="1"/>
  <c r="Q36" i="1"/>
  <c r="R36" i="1"/>
  <c r="S36" i="1"/>
  <c r="N37" i="1"/>
  <c r="Q37" i="1"/>
  <c r="R37" i="1"/>
  <c r="S37" i="1"/>
  <c r="N38" i="1"/>
  <c r="Q38" i="1"/>
  <c r="R38" i="1"/>
  <c r="S38" i="1"/>
  <c r="N39" i="1"/>
  <c r="Q39" i="1"/>
  <c r="R39" i="1"/>
  <c r="S39" i="1"/>
  <c r="N40" i="1"/>
  <c r="R40" i="1"/>
  <c r="S40" i="1"/>
  <c r="M41" i="1"/>
  <c r="N41" i="1"/>
  <c r="Q41" i="1"/>
  <c r="R41" i="1"/>
  <c r="S41" i="1"/>
  <c r="N42" i="1"/>
  <c r="R42" i="1"/>
  <c r="S42" i="1"/>
  <c r="N43" i="1"/>
  <c r="Q43" i="1"/>
  <c r="R43" i="1"/>
  <c r="S43" i="1"/>
  <c r="Q44" i="1"/>
  <c r="R44" i="1"/>
  <c r="S44" i="1"/>
  <c r="N45" i="1"/>
  <c r="Q45" i="1"/>
  <c r="R45" i="1"/>
  <c r="S45" i="1"/>
  <c r="N46" i="1"/>
  <c r="R46" i="1"/>
  <c r="S46" i="1"/>
  <c r="M47" i="1"/>
  <c r="N47" i="1"/>
  <c r="Q47" i="1"/>
  <c r="R47" i="1"/>
  <c r="S47" i="1"/>
  <c r="N48" i="1"/>
  <c r="Q48" i="1"/>
  <c r="R48" i="1"/>
  <c r="S48" i="1"/>
  <c r="N49" i="1"/>
  <c r="R49" i="1"/>
  <c r="S49" i="1"/>
  <c r="R50" i="1"/>
  <c r="S50" i="1"/>
  <c r="N51" i="1"/>
  <c r="Q51" i="1"/>
  <c r="R51" i="1"/>
  <c r="S51" i="1"/>
  <c r="R52" i="1"/>
  <c r="S52" i="1"/>
  <c r="N53" i="1"/>
  <c r="Q53" i="1"/>
  <c r="R53" i="1"/>
  <c r="S53" i="1"/>
  <c r="N54" i="1"/>
  <c r="Q54" i="1"/>
  <c r="R54" i="1"/>
  <c r="S54" i="1"/>
  <c r="N55" i="1"/>
  <c r="Q55" i="1"/>
  <c r="R55" i="1"/>
  <c r="S55" i="1"/>
  <c r="N56" i="1"/>
  <c r="Q56" i="1"/>
  <c r="R56" i="1"/>
  <c r="S56" i="1"/>
  <c r="N58" i="1"/>
  <c r="Q58" i="1"/>
  <c r="R58" i="1"/>
  <c r="S58" i="1"/>
  <c r="N59" i="1"/>
  <c r="R59" i="1"/>
  <c r="S59" i="1"/>
  <c r="N60" i="1"/>
  <c r="Q60" i="1"/>
  <c r="R60" i="1"/>
  <c r="S60" i="1"/>
  <c r="N61" i="1"/>
  <c r="Q61" i="1"/>
  <c r="R61" i="1"/>
  <c r="S61" i="1"/>
  <c r="N62" i="1"/>
  <c r="R62" i="1"/>
  <c r="S62" i="1"/>
  <c r="N63" i="1"/>
  <c r="R63" i="1"/>
  <c r="S63" i="1"/>
  <c r="N64" i="1"/>
  <c r="Q64" i="1"/>
  <c r="R64" i="1"/>
  <c r="S64" i="1"/>
  <c r="N65" i="1"/>
  <c r="Q65" i="1"/>
  <c r="R65" i="1"/>
  <c r="S65" i="1"/>
  <c r="N70" i="1"/>
  <c r="Q70" i="1"/>
  <c r="R70" i="1"/>
  <c r="S70" i="1"/>
  <c r="N71" i="1"/>
  <c r="Q71" i="1"/>
  <c r="R71" i="1"/>
  <c r="S71" i="1"/>
  <c r="N72" i="1"/>
  <c r="Q72" i="1"/>
  <c r="R72" i="1"/>
  <c r="S72" i="1"/>
  <c r="Q73" i="1"/>
  <c r="R73" i="1"/>
  <c r="S73" i="1"/>
  <c r="N74" i="1"/>
  <c r="R74" i="1"/>
  <c r="S74" i="1"/>
  <c r="N75" i="1"/>
  <c r="R75" i="1"/>
  <c r="S75" i="1"/>
  <c r="N76" i="1"/>
  <c r="Q76" i="1"/>
  <c r="R76" i="1"/>
  <c r="S76" i="1"/>
  <c r="N77" i="1"/>
  <c r="R77" i="1"/>
  <c r="S77" i="1"/>
  <c r="N78" i="1"/>
  <c r="R78" i="1"/>
  <c r="S78" i="1"/>
  <c r="N79" i="1"/>
  <c r="Q79" i="1"/>
  <c r="R79" i="1"/>
  <c r="S79" i="1"/>
  <c r="R80" i="1"/>
  <c r="S80" i="1"/>
  <c r="R81" i="1"/>
  <c r="S81" i="1"/>
  <c r="R82" i="1"/>
  <c r="S82" i="1"/>
  <c r="R83" i="1"/>
  <c r="S83" i="1"/>
  <c r="N84" i="1"/>
  <c r="Q84" i="1"/>
  <c r="R84" i="1"/>
  <c r="S84" i="1"/>
  <c r="N85" i="1"/>
  <c r="R85" i="1"/>
  <c r="S85" i="1"/>
  <c r="N86" i="1"/>
  <c r="R86" i="1"/>
  <c r="S86" i="1"/>
  <c r="N87" i="1"/>
  <c r="Q87" i="1"/>
  <c r="R87" i="1"/>
  <c r="S87" i="1"/>
  <c r="M88" i="1"/>
  <c r="N88" i="1"/>
  <c r="R88" i="1"/>
  <c r="S88" i="1"/>
  <c r="N89" i="1"/>
  <c r="R89" i="1"/>
  <c r="S89" i="1"/>
  <c r="N90" i="1"/>
  <c r="R90" i="1"/>
  <c r="S90" i="1"/>
  <c r="N92" i="1"/>
  <c r="R92" i="1"/>
  <c r="S92" i="1"/>
  <c r="N93" i="1"/>
  <c r="R93" i="1"/>
  <c r="S93" i="1"/>
  <c r="N94" i="1"/>
  <c r="Q94" i="1"/>
  <c r="R94" i="1"/>
  <c r="S94" i="1"/>
  <c r="R95" i="1"/>
  <c r="S95" i="1"/>
  <c r="M96" i="1"/>
  <c r="N96" i="1"/>
  <c r="Q96" i="1"/>
  <c r="R96" i="1"/>
  <c r="S96" i="1"/>
  <c r="M97" i="1"/>
  <c r="N97" i="1"/>
  <c r="Q97" i="1"/>
  <c r="R97" i="1"/>
  <c r="S97" i="1"/>
  <c r="N98" i="1"/>
  <c r="Q98" i="1"/>
  <c r="R98" i="1"/>
  <c r="S98" i="1"/>
  <c r="N100" i="1"/>
  <c r="Q100" i="1"/>
  <c r="R100" i="1"/>
  <c r="S100" i="1"/>
  <c r="N101" i="1"/>
  <c r="Q101" i="1"/>
  <c r="R101" i="1"/>
  <c r="S101" i="1"/>
  <c r="N102" i="1"/>
  <c r="Q102" i="1"/>
  <c r="R102" i="1"/>
  <c r="S102" i="1"/>
  <c r="N103" i="1"/>
  <c r="Q103" i="1"/>
  <c r="R103" i="1"/>
  <c r="S103" i="1"/>
  <c r="R104" i="1"/>
  <c r="S104" i="1"/>
  <c r="N105" i="1"/>
  <c r="R105" i="1"/>
  <c r="S105" i="1"/>
  <c r="N106" i="1"/>
  <c r="R106" i="1"/>
  <c r="S106" i="1"/>
  <c r="N107" i="1"/>
  <c r="R107" i="1"/>
  <c r="S107" i="1"/>
  <c r="N108" i="1"/>
  <c r="Q108" i="1"/>
  <c r="R108" i="1"/>
  <c r="S108" i="1"/>
  <c r="N109" i="1"/>
  <c r="R109" i="1"/>
  <c r="S109" i="1"/>
  <c r="R110" i="1"/>
  <c r="S110" i="1"/>
  <c r="N111" i="1"/>
  <c r="Q111" i="1"/>
  <c r="R111" i="1"/>
  <c r="S111" i="1"/>
  <c r="N112" i="1"/>
  <c r="Q112" i="1"/>
  <c r="R112" i="1"/>
  <c r="S112" i="1"/>
  <c r="N113" i="1"/>
  <c r="Q113" i="1"/>
  <c r="R113" i="1"/>
  <c r="S113" i="1"/>
  <c r="N114" i="1"/>
  <c r="Q114" i="1"/>
  <c r="R114" i="1"/>
  <c r="S114" i="1"/>
  <c r="N115" i="1"/>
  <c r="R115" i="1"/>
  <c r="S115" i="1"/>
  <c r="N116" i="1"/>
  <c r="R116" i="1"/>
  <c r="S116" i="1"/>
  <c r="N117" i="1"/>
  <c r="Q117" i="1"/>
  <c r="R117" i="1"/>
  <c r="S117" i="1"/>
  <c r="Q118" i="1"/>
  <c r="R118" i="1"/>
  <c r="S118" i="1"/>
  <c r="N119" i="1"/>
  <c r="Q119" i="1"/>
  <c r="R119" i="1"/>
  <c r="S119" i="1"/>
  <c r="R120" i="1"/>
  <c r="S120" i="1"/>
  <c r="Q121" i="1"/>
  <c r="R121" i="1"/>
  <c r="S121" i="1"/>
  <c r="N122" i="1"/>
  <c r="Q122" i="1"/>
  <c r="R122" i="1"/>
  <c r="S122" i="1"/>
  <c r="N123" i="1"/>
  <c r="Q123" i="1"/>
  <c r="R123" i="1"/>
  <c r="S123" i="1"/>
  <c r="N124" i="1"/>
  <c r="R124" i="1"/>
  <c r="S124" i="1"/>
  <c r="M125" i="1"/>
  <c r="N125" i="1"/>
  <c r="Q125" i="1"/>
  <c r="R125" i="1"/>
  <c r="S125" i="1"/>
  <c r="N126" i="1"/>
  <c r="R126" i="1"/>
  <c r="S126" i="1"/>
  <c r="N127" i="1"/>
  <c r="Q127" i="1"/>
  <c r="R127" i="1"/>
  <c r="S127" i="1"/>
  <c r="N128" i="1"/>
  <c r="R128" i="1"/>
  <c r="S128" i="1"/>
  <c r="R129" i="1"/>
  <c r="S129" i="1"/>
  <c r="N130" i="1"/>
  <c r="R130" i="1"/>
  <c r="S130" i="1"/>
  <c r="Q131" i="1"/>
  <c r="R131" i="1"/>
  <c r="S131" i="1"/>
  <c r="N132" i="1"/>
  <c r="Q132" i="1"/>
  <c r="R132" i="1"/>
  <c r="S132" i="1"/>
  <c r="N133" i="1"/>
  <c r="Q133" i="1"/>
  <c r="R133" i="1"/>
  <c r="S133" i="1"/>
  <c r="Q134" i="1"/>
  <c r="R134" i="1"/>
  <c r="S134" i="1"/>
  <c r="N135" i="1"/>
  <c r="Q135" i="1"/>
  <c r="R135" i="1"/>
  <c r="S135" i="1"/>
  <c r="N136" i="1"/>
  <c r="R136" i="1"/>
  <c r="S136" i="1"/>
  <c r="Q137" i="1"/>
  <c r="R137" i="1"/>
  <c r="S137" i="1"/>
  <c r="N138" i="1"/>
  <c r="R138" i="1"/>
  <c r="S138" i="1"/>
  <c r="Q139" i="1"/>
  <c r="R139" i="1"/>
  <c r="S139" i="1"/>
  <c r="R140" i="1"/>
  <c r="S140" i="1"/>
  <c r="R141" i="1"/>
  <c r="S141" i="1"/>
  <c r="N142" i="1"/>
  <c r="Q142" i="1"/>
  <c r="R142" i="1"/>
  <c r="S142" i="1"/>
  <c r="N143" i="1"/>
  <c r="Q143" i="1"/>
  <c r="R143" i="1"/>
  <c r="S143" i="1"/>
  <c r="N144" i="1"/>
  <c r="Q144" i="1"/>
  <c r="R144" i="1"/>
  <c r="S144" i="1"/>
  <c r="N145" i="1"/>
  <c r="R145" i="1"/>
  <c r="S145" i="1"/>
  <c r="Q146" i="1"/>
  <c r="R146" i="1"/>
  <c r="S146" i="1"/>
  <c r="N147" i="1"/>
  <c r="Q147" i="1"/>
  <c r="R147" i="1"/>
  <c r="S147" i="1"/>
  <c r="N148" i="1"/>
  <c r="Q148" i="1"/>
  <c r="R148" i="1"/>
  <c r="S148" i="1"/>
  <c r="N149" i="1"/>
  <c r="Q149" i="1"/>
  <c r="R149" i="1"/>
  <c r="S149" i="1"/>
  <c r="N150" i="1"/>
  <c r="Q150" i="1"/>
  <c r="R150" i="1"/>
  <c r="S150" i="1"/>
  <c r="Q151" i="1"/>
  <c r="R151" i="1"/>
  <c r="S151" i="1"/>
  <c r="M152" i="1"/>
  <c r="N152" i="1"/>
  <c r="Q152" i="1"/>
  <c r="R152" i="1"/>
  <c r="S152" i="1"/>
  <c r="N153" i="1"/>
  <c r="Q153" i="1"/>
  <c r="R153" i="1"/>
  <c r="S153" i="1"/>
  <c r="Q154" i="1"/>
  <c r="R154" i="1"/>
  <c r="S154" i="1"/>
  <c r="N155" i="1"/>
  <c r="Q155" i="1"/>
  <c r="R155" i="1"/>
  <c r="S155" i="1"/>
  <c r="R156" i="1"/>
  <c r="S156" i="1"/>
  <c r="R157" i="1"/>
  <c r="S157" i="1"/>
  <c r="N158" i="1"/>
  <c r="Q158" i="1"/>
  <c r="R158" i="1"/>
  <c r="S158" i="1"/>
  <c r="N159" i="1"/>
  <c r="R159" i="1"/>
  <c r="S159" i="1"/>
  <c r="Q160" i="1"/>
  <c r="R160" i="1"/>
  <c r="S160" i="1"/>
  <c r="N161" i="1"/>
  <c r="Q161" i="1"/>
  <c r="R161" i="1"/>
  <c r="S161" i="1"/>
  <c r="N162" i="1"/>
  <c r="Q162" i="1"/>
  <c r="R162" i="1"/>
  <c r="S162" i="1"/>
  <c r="Q163" i="1"/>
  <c r="R163" i="1"/>
  <c r="S163" i="1"/>
  <c r="N164" i="1"/>
  <c r="R164" i="1"/>
  <c r="S164" i="1"/>
  <c r="N165" i="1"/>
  <c r="R165" i="1"/>
  <c r="S165" i="1"/>
  <c r="N166" i="1"/>
  <c r="Q166" i="1"/>
  <c r="R166" i="1"/>
  <c r="S166" i="1"/>
  <c r="N167" i="1"/>
  <c r="R167" i="1"/>
  <c r="S167" i="1"/>
  <c r="N168" i="1"/>
  <c r="R168" i="1"/>
  <c r="S168" i="1"/>
  <c r="N169" i="1"/>
  <c r="R169" i="1"/>
  <c r="S169" i="1"/>
  <c r="R170" i="1"/>
  <c r="S170" i="1"/>
  <c r="N171" i="1"/>
  <c r="R171" i="1"/>
  <c r="S171" i="1"/>
  <c r="N172" i="1"/>
  <c r="Q172" i="1"/>
  <c r="R172" i="1"/>
  <c r="S172" i="1"/>
  <c r="N173" i="1"/>
  <c r="Q173" i="1"/>
  <c r="R173" i="1"/>
  <c r="S173" i="1"/>
  <c r="N174" i="1"/>
  <c r="R174" i="1"/>
  <c r="S174" i="1"/>
  <c r="N175" i="1"/>
  <c r="Q175" i="1"/>
  <c r="R175" i="1"/>
  <c r="S175" i="1"/>
  <c r="N176" i="1"/>
  <c r="R176" i="1"/>
  <c r="S176" i="1"/>
  <c r="N177" i="1"/>
  <c r="R177" i="1"/>
  <c r="S177" i="1"/>
  <c r="N178" i="1"/>
  <c r="R178" i="1"/>
  <c r="S178" i="1"/>
  <c r="N179" i="1"/>
  <c r="R179" i="1"/>
  <c r="S179" i="1"/>
  <c r="N180" i="1"/>
  <c r="Q180" i="1"/>
  <c r="R180" i="1"/>
  <c r="S180" i="1"/>
  <c r="N181" i="1"/>
  <c r="Q181" i="1"/>
  <c r="R181" i="1"/>
  <c r="S181" i="1"/>
  <c r="N182" i="1"/>
  <c r="R182" i="1"/>
  <c r="S182" i="1"/>
  <c r="N183" i="1"/>
  <c r="Q183" i="1"/>
  <c r="R183" i="1"/>
  <c r="S183" i="1"/>
  <c r="N184" i="1"/>
  <c r="R184" i="1"/>
  <c r="S184" i="1"/>
  <c r="N185" i="1"/>
  <c r="Q185" i="1"/>
  <c r="R185" i="1"/>
  <c r="S185" i="1"/>
  <c r="Q186" i="1"/>
  <c r="R186" i="1"/>
  <c r="S186" i="1"/>
  <c r="N187" i="1"/>
  <c r="Q187" i="1"/>
  <c r="R187" i="1"/>
  <c r="S187" i="1"/>
  <c r="N188" i="1"/>
  <c r="R188" i="1"/>
  <c r="S188" i="1"/>
  <c r="N189" i="1"/>
  <c r="R189" i="1"/>
  <c r="S189" i="1"/>
  <c r="N190" i="1"/>
  <c r="Q190" i="1"/>
  <c r="R190" i="1"/>
  <c r="S190" i="1"/>
  <c r="N191" i="1"/>
  <c r="Q191" i="1"/>
  <c r="R191" i="1"/>
  <c r="S191" i="1"/>
  <c r="N192" i="1"/>
  <c r="R192" i="1"/>
  <c r="S192" i="1"/>
  <c r="N193" i="1"/>
  <c r="Q193" i="1"/>
  <c r="R193" i="1"/>
  <c r="S193" i="1"/>
  <c r="N194" i="1"/>
  <c r="R194" i="1"/>
  <c r="S194" i="1"/>
  <c r="M195" i="1"/>
  <c r="N195" i="1"/>
  <c r="Q195" i="1"/>
  <c r="R195" i="1"/>
  <c r="S195" i="1"/>
  <c r="N196" i="1"/>
  <c r="Q196" i="1"/>
  <c r="R196" i="1"/>
  <c r="S196" i="1"/>
  <c r="Q197" i="1"/>
  <c r="R197" i="1"/>
  <c r="S197" i="1"/>
  <c r="N198" i="1"/>
  <c r="Q198" i="1"/>
  <c r="R198" i="1"/>
  <c r="S198" i="1"/>
  <c r="N199" i="1"/>
  <c r="R199" i="1"/>
  <c r="S199" i="1"/>
  <c r="Q200" i="1"/>
  <c r="R200" i="1"/>
  <c r="S200" i="1"/>
  <c r="N201" i="1"/>
  <c r="Q201" i="1"/>
  <c r="R201" i="1"/>
  <c r="S201" i="1"/>
  <c r="N202" i="1"/>
  <c r="Q202" i="1"/>
  <c r="R202" i="1"/>
  <c r="S202" i="1"/>
  <c r="N203" i="1"/>
  <c r="Q203" i="1"/>
  <c r="R203" i="1"/>
  <c r="S203" i="1"/>
  <c r="Q204" i="1"/>
  <c r="R204" i="1"/>
  <c r="S204" i="1"/>
  <c r="N205" i="1"/>
  <c r="Q205" i="1"/>
  <c r="R205" i="1"/>
  <c r="S205" i="1"/>
  <c r="N206" i="1"/>
  <c r="Q206" i="1"/>
  <c r="R206" i="1"/>
  <c r="S206" i="1"/>
  <c r="M207" i="1"/>
  <c r="N207" i="1"/>
  <c r="R207" i="1"/>
  <c r="S207" i="1"/>
  <c r="N208" i="1"/>
  <c r="Q208" i="1"/>
  <c r="R208" i="1"/>
  <c r="S208" i="1"/>
  <c r="N209" i="1"/>
  <c r="R209" i="1"/>
  <c r="S209" i="1"/>
  <c r="N210" i="1"/>
  <c r="Q210" i="1"/>
  <c r="R210" i="1"/>
  <c r="S210" i="1"/>
  <c r="Q211" i="1"/>
  <c r="R211" i="1"/>
  <c r="S211" i="1"/>
  <c r="N212" i="1"/>
  <c r="Q212" i="1"/>
  <c r="R212" i="1"/>
  <c r="S212" i="1"/>
  <c r="N213" i="1"/>
  <c r="R213" i="1"/>
  <c r="S213" i="1"/>
  <c r="N214" i="1"/>
  <c r="Q214" i="1"/>
  <c r="R214" i="1"/>
  <c r="S214" i="1"/>
  <c r="N215" i="1"/>
  <c r="Q215" i="1"/>
  <c r="R215" i="1"/>
  <c r="S215" i="1"/>
  <c r="N216" i="1"/>
  <c r="R216" i="1"/>
  <c r="S216" i="1"/>
  <c r="Q217" i="1"/>
  <c r="R217" i="1"/>
  <c r="S217" i="1"/>
  <c r="N218" i="1"/>
  <c r="Q218" i="1"/>
  <c r="R218" i="1"/>
  <c r="S218" i="1"/>
  <c r="R219" i="1"/>
  <c r="S219" i="1"/>
  <c r="N220" i="1"/>
  <c r="Q220" i="1"/>
  <c r="R220" i="1"/>
  <c r="S220" i="1"/>
  <c r="N221" i="1"/>
  <c r="Q221" i="1"/>
  <c r="R221" i="1"/>
  <c r="S221" i="1"/>
  <c r="N222" i="1"/>
  <c r="Q222" i="1"/>
  <c r="R222" i="1"/>
  <c r="S222" i="1"/>
  <c r="N223" i="1"/>
  <c r="Q223" i="1"/>
  <c r="R223" i="1"/>
  <c r="S223" i="1"/>
  <c r="N224" i="1"/>
  <c r="Q224" i="1"/>
  <c r="R224" i="1"/>
  <c r="S224" i="1"/>
  <c r="N225" i="1"/>
  <c r="R225" i="1"/>
  <c r="S225" i="1"/>
  <c r="N226" i="1"/>
  <c r="Q226" i="1"/>
  <c r="R226" i="1"/>
  <c r="S226" i="1"/>
  <c r="N227" i="1"/>
  <c r="Q227" i="1"/>
  <c r="R227" i="1"/>
  <c r="S227" i="1"/>
  <c r="N228" i="1"/>
  <c r="R228" i="1"/>
  <c r="S228" i="1"/>
  <c r="N229" i="1"/>
  <c r="Q229" i="1"/>
  <c r="R229" i="1"/>
  <c r="S229" i="1"/>
  <c r="N230" i="1"/>
  <c r="Q230" i="1"/>
  <c r="R230" i="1"/>
  <c r="S230" i="1"/>
  <c r="N231" i="1"/>
  <c r="Q231" i="1"/>
  <c r="R231" i="1"/>
  <c r="S231" i="1"/>
  <c r="N232" i="1"/>
  <c r="Q232" i="1"/>
  <c r="R232" i="1"/>
  <c r="S232" i="1"/>
  <c r="M233" i="1"/>
  <c r="N233" i="1"/>
  <c r="Q233" i="1"/>
  <c r="R233" i="1"/>
  <c r="S233" i="1"/>
  <c r="N234" i="1"/>
  <c r="Q234" i="1"/>
  <c r="R234" i="1"/>
  <c r="S234" i="1"/>
  <c r="N235" i="1"/>
  <c r="Q235" i="1"/>
  <c r="R235" i="1"/>
  <c r="S235" i="1"/>
  <c r="N236" i="1"/>
  <c r="Q236" i="1"/>
  <c r="R236" i="1"/>
  <c r="S236" i="1"/>
  <c r="N237" i="1"/>
  <c r="Q237" i="1"/>
  <c r="R237" i="1"/>
  <c r="S237" i="1"/>
  <c r="N238" i="1"/>
  <c r="Q238" i="1"/>
  <c r="R238" i="1"/>
  <c r="S238" i="1"/>
  <c r="Q239" i="1"/>
  <c r="R239" i="1"/>
  <c r="S239" i="1"/>
  <c r="N240" i="1"/>
  <c r="R240" i="1"/>
  <c r="S240" i="1"/>
  <c r="N241" i="1"/>
  <c r="R241" i="1"/>
  <c r="S241" i="1"/>
  <c r="N242" i="1"/>
  <c r="Q242" i="1"/>
  <c r="R242" i="1"/>
  <c r="S242" i="1"/>
  <c r="N243" i="1"/>
  <c r="R243" i="1"/>
  <c r="S243" i="1"/>
  <c r="N244" i="1"/>
  <c r="R244" i="1"/>
  <c r="S244" i="1"/>
  <c r="N245" i="1"/>
  <c r="Q245" i="1"/>
  <c r="R245" i="1"/>
  <c r="S245" i="1"/>
  <c r="R246" i="1"/>
  <c r="S246" i="1"/>
  <c r="M247" i="1"/>
  <c r="R247" i="1"/>
  <c r="S247" i="1"/>
  <c r="R248" i="1"/>
  <c r="S248" i="1"/>
  <c r="R249" i="1"/>
  <c r="S249" i="1"/>
  <c r="N250" i="1"/>
  <c r="Q250" i="1"/>
  <c r="R250" i="1"/>
  <c r="S250" i="1"/>
  <c r="N251" i="1"/>
  <c r="R251" i="1"/>
  <c r="S251" i="1"/>
  <c r="N252" i="1"/>
  <c r="R252" i="1"/>
  <c r="S252" i="1"/>
  <c r="N253" i="1"/>
  <c r="Q253" i="1"/>
  <c r="R253" i="1"/>
  <c r="S253" i="1"/>
  <c r="N254" i="1"/>
  <c r="R254" i="1"/>
  <c r="S254" i="1"/>
  <c r="N255" i="1"/>
  <c r="R255" i="1"/>
  <c r="S255" i="1"/>
  <c r="N256" i="1"/>
  <c r="R256" i="1"/>
  <c r="S256" i="1"/>
  <c r="N257" i="1"/>
  <c r="Q257" i="1"/>
  <c r="R257" i="1"/>
  <c r="S257" i="1"/>
  <c r="N258" i="1"/>
  <c r="R258" i="1"/>
  <c r="S258" i="1"/>
  <c r="M259" i="1"/>
  <c r="N259" i="1"/>
  <c r="R259" i="1"/>
  <c r="S259" i="1"/>
  <c r="N260" i="1"/>
  <c r="Q260" i="1"/>
  <c r="R260" i="1"/>
  <c r="S260" i="1"/>
  <c r="Q261" i="1"/>
  <c r="R261" i="1"/>
  <c r="S261" i="1"/>
  <c r="M262" i="1"/>
  <c r="N262" i="1"/>
  <c r="Q262" i="1"/>
  <c r="R262" i="1"/>
  <c r="S262" i="1"/>
  <c r="M263" i="1"/>
  <c r="N263" i="1"/>
  <c r="Q263" i="1"/>
  <c r="R263" i="1"/>
  <c r="S263" i="1"/>
  <c r="N264" i="1"/>
  <c r="Q264" i="1"/>
  <c r="R264" i="1"/>
  <c r="S264" i="1"/>
  <c r="N265" i="1"/>
  <c r="R265" i="1"/>
  <c r="S265" i="1"/>
  <c r="N266" i="1"/>
  <c r="Q266" i="1"/>
  <c r="R266" i="1"/>
  <c r="S266" i="1"/>
  <c r="N267" i="1"/>
  <c r="Q267" i="1"/>
  <c r="R267" i="1"/>
  <c r="S267" i="1"/>
  <c r="N268" i="1"/>
  <c r="Q268" i="1"/>
  <c r="R268" i="1"/>
  <c r="S268" i="1"/>
  <c r="N269" i="1"/>
  <c r="Q269" i="1"/>
  <c r="R269" i="1"/>
  <c r="S269" i="1"/>
  <c r="N270" i="1"/>
  <c r="R270" i="1"/>
  <c r="S270" i="1"/>
  <c r="N271" i="1"/>
  <c r="Q271" i="1"/>
  <c r="R271" i="1"/>
  <c r="S271" i="1"/>
  <c r="N272" i="1"/>
  <c r="R272" i="1"/>
  <c r="S272" i="1"/>
  <c r="N273" i="1"/>
  <c r="R273" i="1"/>
  <c r="S273" i="1"/>
  <c r="M274" i="1"/>
  <c r="N274" i="1"/>
  <c r="Q274" i="1"/>
  <c r="R274" i="1"/>
  <c r="S274" i="1"/>
  <c r="N275" i="1"/>
  <c r="R275" i="1"/>
  <c r="S275" i="1"/>
  <c r="R276" i="1"/>
  <c r="S276" i="1"/>
  <c r="N277" i="1"/>
  <c r="Q277" i="1"/>
  <c r="R277" i="1"/>
  <c r="S277" i="1"/>
  <c r="N278" i="1"/>
  <c r="Q278" i="1"/>
  <c r="R278" i="1"/>
  <c r="S278" i="1"/>
  <c r="N279" i="1"/>
  <c r="Q279" i="1"/>
  <c r="R279" i="1"/>
  <c r="S279" i="1"/>
  <c r="N280" i="1"/>
  <c r="Q280" i="1"/>
  <c r="R280" i="1"/>
  <c r="S280" i="1"/>
  <c r="N281" i="1"/>
  <c r="R281" i="1"/>
  <c r="S281" i="1"/>
  <c r="N282" i="1"/>
  <c r="R282" i="1"/>
  <c r="S282" i="1"/>
  <c r="N283" i="1"/>
  <c r="Q283" i="1"/>
  <c r="R283" i="1"/>
  <c r="S283" i="1"/>
  <c r="Q284" i="1"/>
  <c r="R284" i="1"/>
  <c r="S284" i="1"/>
  <c r="N285" i="1"/>
  <c r="Q285" i="1"/>
  <c r="R285" i="1"/>
  <c r="S285" i="1"/>
  <c r="R286" i="1"/>
  <c r="S286" i="1"/>
  <c r="Q287" i="1"/>
  <c r="R287" i="1"/>
  <c r="S287" i="1"/>
  <c r="N288" i="1"/>
  <c r="Q288" i="1"/>
  <c r="R288" i="1"/>
  <c r="S288" i="1"/>
  <c r="N289" i="1"/>
  <c r="Q289" i="1"/>
  <c r="R289" i="1"/>
  <c r="S289" i="1"/>
  <c r="N290" i="1"/>
  <c r="R290" i="1"/>
  <c r="S290" i="1"/>
  <c r="N291" i="1"/>
  <c r="Q291" i="1"/>
  <c r="R291" i="1"/>
  <c r="S291" i="1"/>
  <c r="N292" i="1"/>
  <c r="R292" i="1"/>
  <c r="S292" i="1"/>
  <c r="N293" i="1"/>
  <c r="Q293" i="1"/>
  <c r="R293" i="1"/>
  <c r="S293" i="1"/>
  <c r="N294" i="1"/>
  <c r="R294" i="1"/>
  <c r="S294" i="1"/>
  <c r="R295" i="1"/>
  <c r="S295" i="1"/>
  <c r="R296" i="1"/>
  <c r="S296" i="1"/>
  <c r="Q297" i="1"/>
  <c r="R297" i="1"/>
  <c r="S297" i="1"/>
  <c r="N298" i="1"/>
  <c r="Q298" i="1"/>
  <c r="R298" i="1"/>
  <c r="S298" i="1"/>
  <c r="N299" i="1"/>
  <c r="Q299" i="1"/>
  <c r="R299" i="1"/>
  <c r="S299" i="1"/>
  <c r="Q300" i="1"/>
  <c r="R300" i="1"/>
  <c r="S300" i="1"/>
  <c r="N301" i="1"/>
  <c r="Q301" i="1"/>
  <c r="R301" i="1"/>
  <c r="S301" i="1"/>
  <c r="N302" i="1"/>
  <c r="R302" i="1"/>
  <c r="S302" i="1"/>
  <c r="M303" i="1"/>
  <c r="Q303" i="1"/>
  <c r="R303" i="1"/>
  <c r="S303" i="1"/>
  <c r="N304" i="1"/>
  <c r="R304" i="1"/>
  <c r="S304" i="1"/>
  <c r="Q305" i="1"/>
  <c r="R305" i="1"/>
  <c r="S305" i="1"/>
  <c r="Q306" i="1"/>
  <c r="R306" i="1"/>
  <c r="S306" i="1"/>
  <c r="Q307" i="1"/>
  <c r="R307" i="1"/>
  <c r="S307" i="1"/>
  <c r="N308" i="1"/>
  <c r="Q308" i="1"/>
  <c r="R308" i="1"/>
  <c r="S308" i="1"/>
  <c r="N309" i="1"/>
  <c r="Q309" i="1"/>
  <c r="R309" i="1"/>
  <c r="S309" i="1"/>
  <c r="N310" i="1"/>
  <c r="Q310" i="1"/>
  <c r="R310" i="1"/>
  <c r="S310" i="1"/>
  <c r="N311" i="1"/>
  <c r="R311" i="1"/>
  <c r="S311" i="1"/>
  <c r="Q312" i="1"/>
  <c r="R312" i="1"/>
  <c r="S312" i="1"/>
  <c r="N313" i="1"/>
  <c r="Q313" i="1"/>
  <c r="R313" i="1"/>
  <c r="S313" i="1"/>
  <c r="N314" i="1"/>
  <c r="Q314" i="1"/>
  <c r="R314" i="1"/>
  <c r="S314" i="1"/>
  <c r="M315" i="1"/>
  <c r="N315" i="1"/>
  <c r="Q315" i="1"/>
  <c r="R315" i="1"/>
  <c r="S315" i="1"/>
  <c r="N316" i="1"/>
  <c r="Q316" i="1"/>
  <c r="R316" i="1"/>
  <c r="S316" i="1"/>
  <c r="Q317" i="1"/>
  <c r="R317" i="1"/>
  <c r="S317" i="1"/>
  <c r="M318" i="1"/>
  <c r="N318" i="1"/>
  <c r="Q318" i="1"/>
  <c r="R318" i="1"/>
  <c r="S318" i="1"/>
  <c r="N319" i="1"/>
  <c r="Q319" i="1"/>
  <c r="R319" i="1"/>
  <c r="S319" i="1"/>
  <c r="Q320" i="1"/>
  <c r="R320" i="1"/>
  <c r="S320" i="1"/>
  <c r="N321" i="1"/>
  <c r="Q321" i="1"/>
  <c r="R321" i="1"/>
  <c r="S321" i="1"/>
  <c r="N322" i="1"/>
  <c r="R322" i="1"/>
  <c r="S322" i="1"/>
  <c r="R323" i="1"/>
  <c r="S323" i="1"/>
  <c r="N324" i="1"/>
  <c r="Q324" i="1"/>
  <c r="R324" i="1"/>
  <c r="S324" i="1"/>
  <c r="N325" i="1"/>
  <c r="R325" i="1"/>
  <c r="S325" i="1"/>
  <c r="Q326" i="1"/>
  <c r="R326" i="1"/>
  <c r="S326" i="1"/>
  <c r="M327" i="1"/>
  <c r="N327" i="1"/>
  <c r="Q327" i="1"/>
  <c r="R327" i="1"/>
  <c r="S327" i="1"/>
  <c r="N328" i="1"/>
  <c r="Q328" i="1"/>
  <c r="R328" i="1"/>
  <c r="S328" i="1"/>
  <c r="Q329" i="1"/>
  <c r="R329" i="1"/>
  <c r="S329" i="1"/>
  <c r="N330" i="1"/>
  <c r="R330" i="1"/>
  <c r="S330" i="1"/>
  <c r="N331" i="1"/>
  <c r="Q331" i="1"/>
  <c r="R331" i="1"/>
  <c r="S331" i="1"/>
  <c r="N332" i="1"/>
  <c r="Q332" i="1"/>
  <c r="R332" i="1"/>
  <c r="S332" i="1"/>
  <c r="N333" i="1"/>
  <c r="R333" i="1"/>
  <c r="S333" i="1"/>
  <c r="N334" i="1"/>
  <c r="R334" i="1"/>
  <c r="S334" i="1"/>
  <c r="N335" i="1"/>
  <c r="R335" i="1"/>
  <c r="S335" i="1"/>
  <c r="R336" i="1"/>
  <c r="S336" i="1"/>
  <c r="N337" i="1"/>
  <c r="R337" i="1"/>
  <c r="S337" i="1"/>
  <c r="N338" i="1"/>
  <c r="Q338" i="1"/>
  <c r="R338" i="1"/>
  <c r="S338" i="1"/>
  <c r="N339" i="1"/>
  <c r="Q339" i="1"/>
  <c r="R339" i="1"/>
  <c r="S339" i="1"/>
  <c r="N340" i="1"/>
  <c r="R340" i="1"/>
  <c r="S340" i="1"/>
  <c r="N341" i="1"/>
  <c r="Q341" i="1"/>
  <c r="R341" i="1"/>
  <c r="S341" i="1"/>
  <c r="N342" i="1"/>
  <c r="R342" i="1"/>
  <c r="S342" i="1"/>
  <c r="N343" i="1"/>
  <c r="R343" i="1"/>
  <c r="S343" i="1"/>
  <c r="N344" i="1"/>
  <c r="R344" i="1"/>
  <c r="S344" i="1"/>
  <c r="N345" i="1"/>
  <c r="R345" i="1"/>
  <c r="S345" i="1"/>
  <c r="N346" i="1"/>
  <c r="Q346" i="1"/>
  <c r="R346" i="1"/>
  <c r="S346" i="1"/>
  <c r="N347" i="1"/>
  <c r="Q347" i="1"/>
  <c r="R347" i="1"/>
  <c r="S347" i="1"/>
  <c r="N348" i="1"/>
  <c r="R348" i="1"/>
  <c r="S348" i="1"/>
  <c r="N349" i="1"/>
  <c r="Q349" i="1"/>
  <c r="R349" i="1"/>
  <c r="S349" i="1"/>
  <c r="N350" i="1"/>
  <c r="R350" i="1"/>
  <c r="S350" i="1"/>
  <c r="N351" i="1"/>
  <c r="Q351" i="1"/>
  <c r="R351" i="1"/>
  <c r="S351" i="1"/>
  <c r="Q352" i="1"/>
  <c r="R352" i="1"/>
  <c r="S352" i="1"/>
  <c r="N353" i="1"/>
  <c r="Q353" i="1"/>
  <c r="R353" i="1"/>
  <c r="S353" i="1"/>
  <c r="N354" i="1"/>
  <c r="R354" i="1"/>
  <c r="S354" i="1"/>
  <c r="N355" i="1"/>
  <c r="R355" i="1"/>
  <c r="S355" i="1"/>
  <c r="N356" i="1"/>
  <c r="Q356" i="1"/>
  <c r="R356" i="1"/>
  <c r="S356" i="1"/>
  <c r="N357" i="1"/>
  <c r="Q357" i="1"/>
  <c r="R357" i="1"/>
  <c r="S357" i="1"/>
  <c r="N358" i="1"/>
  <c r="R358" i="1"/>
  <c r="S358" i="1"/>
  <c r="N359" i="1"/>
  <c r="Q359" i="1"/>
  <c r="R359" i="1"/>
  <c r="S359" i="1"/>
  <c r="N360" i="1"/>
  <c r="R360" i="1"/>
  <c r="S360" i="1"/>
  <c r="N361" i="1"/>
  <c r="Q361" i="1"/>
  <c r="R361" i="1"/>
  <c r="S361" i="1"/>
  <c r="N362" i="1"/>
  <c r="Q362" i="1"/>
  <c r="R362" i="1"/>
  <c r="S362" i="1"/>
  <c r="Q363" i="1"/>
  <c r="R363" i="1"/>
  <c r="S363" i="1"/>
  <c r="N364" i="1"/>
  <c r="Q364" i="1"/>
  <c r="R364" i="1"/>
  <c r="S364" i="1"/>
  <c r="N365" i="1"/>
  <c r="R365" i="1"/>
  <c r="S365" i="1"/>
  <c r="Q366" i="1"/>
  <c r="R366" i="1"/>
  <c r="S366" i="1"/>
  <c r="N367" i="1"/>
  <c r="Q367" i="1"/>
  <c r="R367" i="1"/>
  <c r="S367" i="1"/>
  <c r="N368" i="1"/>
  <c r="Q368" i="1"/>
  <c r="R368" i="1"/>
  <c r="S368" i="1"/>
  <c r="Q369" i="1"/>
  <c r="R369" i="1"/>
  <c r="S369" i="1"/>
  <c r="Q370" i="1"/>
  <c r="R370" i="1"/>
  <c r="S370" i="1"/>
  <c r="N371" i="1"/>
  <c r="Q371" i="1"/>
  <c r="R371" i="1"/>
  <c r="S371" i="1"/>
  <c r="N372" i="1"/>
  <c r="Q372" i="1"/>
  <c r="R372" i="1"/>
  <c r="S372" i="1"/>
  <c r="N373" i="1"/>
  <c r="R373" i="1"/>
  <c r="S373" i="1"/>
  <c r="N374" i="1"/>
  <c r="Q374" i="1"/>
  <c r="R374" i="1"/>
  <c r="S374" i="1"/>
  <c r="N375" i="1"/>
  <c r="R375" i="1"/>
  <c r="S375" i="1"/>
  <c r="N376" i="1"/>
  <c r="Q376" i="1"/>
  <c r="R376" i="1"/>
  <c r="S376" i="1"/>
  <c r="Q377" i="1"/>
  <c r="R377" i="1"/>
  <c r="S377" i="1"/>
  <c r="N378" i="1"/>
  <c r="Q378" i="1"/>
  <c r="R378" i="1"/>
  <c r="S378" i="1"/>
  <c r="N379" i="1"/>
  <c r="R379" i="1"/>
  <c r="S379" i="1"/>
  <c r="N380" i="1"/>
  <c r="Q380" i="1"/>
  <c r="R380" i="1"/>
  <c r="S380" i="1"/>
  <c r="N381" i="1"/>
  <c r="Q381" i="1"/>
  <c r="R381" i="1"/>
  <c r="S381" i="1"/>
  <c r="N382" i="1"/>
  <c r="R382" i="1"/>
  <c r="S382" i="1"/>
  <c r="Q383" i="1"/>
  <c r="R383" i="1"/>
  <c r="S383" i="1"/>
  <c r="N384" i="1"/>
  <c r="Q384" i="1"/>
  <c r="R384" i="1"/>
  <c r="S384" i="1"/>
  <c r="R385" i="1"/>
  <c r="S385" i="1"/>
  <c r="N386" i="1"/>
  <c r="Q386" i="1"/>
  <c r="R386" i="1"/>
  <c r="S386" i="1"/>
  <c r="N387" i="1"/>
  <c r="Q387" i="1"/>
  <c r="R387" i="1"/>
  <c r="S387" i="1"/>
  <c r="N388" i="1"/>
  <c r="Q388" i="1"/>
  <c r="R388" i="1"/>
  <c r="S388" i="1"/>
  <c r="N389" i="1"/>
  <c r="Q389" i="1"/>
  <c r="R389" i="1"/>
  <c r="S389" i="1"/>
  <c r="N390" i="1"/>
  <c r="Q390" i="1"/>
  <c r="R390" i="1"/>
  <c r="S390" i="1"/>
  <c r="N391" i="1"/>
  <c r="R391" i="1"/>
  <c r="S391" i="1"/>
  <c r="N392" i="1"/>
  <c r="Q392" i="1"/>
  <c r="R392" i="1"/>
  <c r="S392" i="1"/>
  <c r="N393" i="1"/>
  <c r="Q393" i="1"/>
  <c r="R393" i="1"/>
  <c r="S393" i="1"/>
  <c r="N394" i="1"/>
  <c r="R394" i="1"/>
  <c r="S394" i="1"/>
  <c r="N395" i="1"/>
  <c r="Q395" i="1"/>
  <c r="R395" i="1"/>
  <c r="S395" i="1"/>
  <c r="N396" i="1"/>
  <c r="Q396" i="1"/>
  <c r="R396" i="1"/>
  <c r="S396" i="1"/>
  <c r="N397" i="1"/>
  <c r="Q397" i="1"/>
  <c r="R397" i="1"/>
  <c r="S397" i="1"/>
  <c r="N398" i="1"/>
  <c r="Q398" i="1"/>
  <c r="R398" i="1"/>
  <c r="S398" i="1"/>
  <c r="N399" i="1"/>
  <c r="Q399" i="1"/>
  <c r="R399" i="1"/>
  <c r="S399" i="1"/>
  <c r="N400" i="1"/>
  <c r="Q400" i="1"/>
  <c r="R400" i="1"/>
  <c r="S400" i="1"/>
  <c r="N401" i="1"/>
  <c r="Q401" i="1"/>
  <c r="R401" i="1"/>
  <c r="S401" i="1"/>
  <c r="N402" i="1"/>
  <c r="Q402" i="1"/>
  <c r="R402" i="1"/>
  <c r="S402" i="1"/>
  <c r="N403" i="1"/>
  <c r="Q403" i="1"/>
  <c r="R403" i="1"/>
  <c r="S403" i="1"/>
  <c r="M404" i="1"/>
  <c r="N404" i="1"/>
  <c r="Q404" i="1"/>
  <c r="R404" i="1"/>
  <c r="S404" i="1"/>
  <c r="Q405" i="1"/>
  <c r="R405" i="1"/>
  <c r="S405" i="1"/>
  <c r="N406" i="1"/>
  <c r="R406" i="1"/>
  <c r="S406" i="1"/>
  <c r="N407" i="1"/>
  <c r="R407" i="1"/>
  <c r="S407" i="1"/>
  <c r="N408" i="1"/>
  <c r="Q408" i="1"/>
  <c r="R408" i="1"/>
  <c r="S408" i="1"/>
  <c r="N409" i="1"/>
  <c r="R409" i="1"/>
  <c r="S409" i="1"/>
  <c r="N410" i="1"/>
  <c r="R410" i="1"/>
  <c r="S410" i="1"/>
  <c r="N411" i="1"/>
  <c r="Q411" i="1"/>
  <c r="R411" i="1"/>
  <c r="S411" i="1"/>
  <c r="M412" i="1"/>
  <c r="R412" i="1"/>
  <c r="S412" i="1"/>
  <c r="R413" i="1"/>
  <c r="S413" i="1"/>
  <c r="R414" i="1"/>
  <c r="S414" i="1"/>
  <c r="R415" i="1"/>
  <c r="S415" i="1"/>
  <c r="N416" i="1"/>
  <c r="Q416" i="1"/>
  <c r="R416" i="1"/>
  <c r="S416" i="1"/>
  <c r="N417" i="1"/>
  <c r="R417" i="1"/>
  <c r="S417" i="1"/>
  <c r="N418" i="1"/>
  <c r="R418" i="1"/>
  <c r="S418" i="1"/>
  <c r="N419" i="1"/>
  <c r="Q419" i="1"/>
  <c r="R419" i="1"/>
  <c r="S419" i="1"/>
  <c r="N420" i="1"/>
  <c r="R420" i="1"/>
  <c r="S420" i="1"/>
  <c r="N421" i="1"/>
  <c r="R421" i="1"/>
  <c r="S421" i="1"/>
  <c r="N422" i="1"/>
  <c r="R422" i="1"/>
  <c r="S422" i="1"/>
  <c r="N423" i="1"/>
  <c r="Q423" i="1"/>
  <c r="R423" i="1"/>
  <c r="S423" i="1"/>
  <c r="N424" i="1"/>
  <c r="R424" i="1"/>
  <c r="S424" i="1"/>
  <c r="N425" i="1"/>
  <c r="R425" i="1"/>
  <c r="S425" i="1"/>
  <c r="N426" i="1"/>
  <c r="Q426" i="1"/>
  <c r="R426" i="1"/>
  <c r="S426" i="1"/>
  <c r="Q427" i="1"/>
  <c r="R427" i="1"/>
  <c r="S427" i="1"/>
  <c r="M428" i="1"/>
  <c r="N428" i="1"/>
  <c r="Q428" i="1"/>
  <c r="R428" i="1"/>
  <c r="S428" i="1"/>
  <c r="M429" i="1"/>
  <c r="N429" i="1"/>
  <c r="Q429" i="1"/>
  <c r="R429" i="1"/>
  <c r="S429" i="1"/>
  <c r="N430" i="1"/>
  <c r="Q430" i="1"/>
  <c r="R430" i="1"/>
  <c r="S430" i="1"/>
  <c r="N431" i="1"/>
  <c r="R431" i="1"/>
  <c r="S431" i="1"/>
  <c r="N432" i="1"/>
  <c r="Q432" i="1"/>
  <c r="R432" i="1"/>
  <c r="S432" i="1"/>
  <c r="N433" i="1"/>
  <c r="Q433" i="1"/>
  <c r="R433" i="1"/>
  <c r="S433" i="1"/>
  <c r="N434" i="1"/>
  <c r="Q434" i="1"/>
  <c r="R434" i="1"/>
  <c r="S434" i="1"/>
  <c r="N435" i="1"/>
  <c r="Q435" i="1"/>
  <c r="R435" i="1"/>
  <c r="S435" i="1"/>
  <c r="R436" i="1"/>
  <c r="S436" i="1"/>
  <c r="N437" i="1"/>
  <c r="Q437" i="1"/>
  <c r="R437" i="1"/>
  <c r="S437" i="1"/>
  <c r="N438" i="1"/>
  <c r="R438" i="1"/>
  <c r="S438" i="1"/>
  <c r="N439" i="1"/>
  <c r="R439" i="1"/>
  <c r="S439" i="1"/>
  <c r="M440" i="1"/>
  <c r="N440" i="1"/>
  <c r="Q440" i="1"/>
  <c r="R440" i="1"/>
  <c r="S440" i="1"/>
  <c r="N441" i="1"/>
  <c r="R441" i="1"/>
  <c r="S441" i="1"/>
  <c r="R442" i="1"/>
  <c r="S442" i="1"/>
  <c r="N443" i="1"/>
  <c r="Q443" i="1"/>
  <c r="R443" i="1"/>
  <c r="S443" i="1"/>
  <c r="N444" i="1"/>
  <c r="Q444" i="1"/>
  <c r="R444" i="1"/>
  <c r="S444" i="1"/>
  <c r="N445" i="1"/>
  <c r="Q445" i="1"/>
  <c r="R445" i="1"/>
  <c r="S445" i="1"/>
  <c r="N446" i="1"/>
  <c r="Q446" i="1"/>
  <c r="R446" i="1"/>
  <c r="S446" i="1"/>
  <c r="N447" i="1"/>
  <c r="R447" i="1"/>
  <c r="S447" i="1"/>
  <c r="N448" i="1"/>
  <c r="R448" i="1"/>
  <c r="S448" i="1"/>
  <c r="N449" i="1"/>
  <c r="Q449" i="1"/>
  <c r="R449" i="1"/>
  <c r="S449" i="1"/>
  <c r="Q450" i="1"/>
  <c r="R450" i="1"/>
  <c r="S450" i="1"/>
  <c r="N451" i="1"/>
  <c r="Q451" i="1"/>
  <c r="R451" i="1"/>
  <c r="S451" i="1"/>
  <c r="R452" i="1"/>
  <c r="S452" i="1"/>
  <c r="Q453" i="1"/>
  <c r="R453" i="1"/>
  <c r="S453" i="1"/>
  <c r="N454" i="1"/>
  <c r="Q454" i="1"/>
  <c r="R454" i="1"/>
  <c r="S454" i="1"/>
  <c r="N455" i="1"/>
  <c r="Q455" i="1"/>
  <c r="R455" i="1"/>
  <c r="S455" i="1"/>
  <c r="N456" i="1"/>
  <c r="R456" i="1"/>
  <c r="S456" i="1"/>
  <c r="N457" i="1"/>
  <c r="Q457" i="1"/>
  <c r="R457" i="1"/>
  <c r="S457" i="1"/>
  <c r="N458" i="1"/>
  <c r="R458" i="1"/>
  <c r="S458" i="1"/>
  <c r="N459" i="1"/>
  <c r="Q459" i="1"/>
  <c r="R459" i="1"/>
  <c r="S459" i="1"/>
  <c r="N460" i="1"/>
  <c r="R460" i="1"/>
  <c r="S460" i="1"/>
  <c r="R461" i="1"/>
  <c r="S461" i="1"/>
  <c r="R462" i="1"/>
  <c r="S462" i="1"/>
  <c r="Q463" i="1"/>
  <c r="R463" i="1"/>
  <c r="S463" i="1"/>
  <c r="N464" i="1"/>
  <c r="Q464" i="1"/>
  <c r="R464" i="1"/>
  <c r="S464" i="1"/>
  <c r="N465" i="1"/>
  <c r="Q465" i="1"/>
  <c r="R465" i="1"/>
  <c r="S465" i="1"/>
  <c r="Q466" i="1"/>
  <c r="R466" i="1"/>
  <c r="S466" i="1"/>
  <c r="N467" i="1"/>
  <c r="Q467" i="1"/>
  <c r="R467" i="1"/>
  <c r="S467" i="1"/>
  <c r="N468" i="1"/>
  <c r="R468" i="1"/>
  <c r="S468" i="1"/>
  <c r="Q469" i="1"/>
  <c r="R469" i="1"/>
  <c r="S469" i="1"/>
  <c r="N470" i="1"/>
  <c r="R470" i="1"/>
  <c r="S470" i="1"/>
  <c r="Q471" i="1"/>
  <c r="R471" i="1"/>
  <c r="S471" i="1"/>
  <c r="Q472" i="1"/>
  <c r="R472" i="1"/>
  <c r="S472" i="1"/>
  <c r="Q473" i="1"/>
  <c r="R473" i="1"/>
  <c r="S473" i="1"/>
  <c r="N474" i="1"/>
  <c r="Q474" i="1"/>
  <c r="R474" i="1"/>
  <c r="S474" i="1"/>
  <c r="N475" i="1"/>
  <c r="Q475" i="1"/>
  <c r="R475" i="1"/>
  <c r="S475" i="1"/>
  <c r="N476" i="1"/>
  <c r="Q476" i="1"/>
  <c r="R476" i="1"/>
  <c r="S476" i="1"/>
  <c r="N477" i="1"/>
  <c r="R477" i="1"/>
  <c r="S477" i="1"/>
  <c r="Q478" i="1"/>
  <c r="R478" i="1"/>
  <c r="S478" i="1"/>
  <c r="N479" i="1"/>
  <c r="Q479" i="1"/>
  <c r="R479" i="1"/>
  <c r="S479" i="1"/>
  <c r="N480" i="1"/>
  <c r="Q480" i="1"/>
  <c r="R480" i="1"/>
  <c r="S480" i="1"/>
  <c r="N481" i="1"/>
  <c r="Q481" i="1"/>
  <c r="R481" i="1"/>
  <c r="S481" i="1"/>
  <c r="N482" i="1"/>
  <c r="Q482" i="1"/>
  <c r="R482" i="1"/>
  <c r="S482" i="1"/>
  <c r="Q483" i="1"/>
  <c r="R483" i="1"/>
  <c r="S483" i="1"/>
  <c r="M484" i="1"/>
  <c r="N484" i="1"/>
  <c r="Q484" i="1"/>
  <c r="R484" i="1"/>
  <c r="S484" i="1"/>
  <c r="N485" i="1"/>
  <c r="Q485" i="1"/>
  <c r="R485" i="1"/>
  <c r="S485" i="1"/>
  <c r="Q486" i="1"/>
  <c r="R486" i="1"/>
  <c r="S486" i="1"/>
  <c r="N487" i="1"/>
  <c r="Q487" i="1"/>
  <c r="R487" i="1"/>
  <c r="S487" i="1"/>
  <c r="R488" i="1"/>
  <c r="S488" i="1"/>
  <c r="R489" i="1"/>
  <c r="S489" i="1"/>
  <c r="N490" i="1"/>
  <c r="Q490" i="1"/>
  <c r="R490" i="1"/>
  <c r="S490" i="1"/>
  <c r="N491" i="1"/>
  <c r="R491" i="1"/>
  <c r="S491" i="1"/>
  <c r="Q492" i="1"/>
  <c r="R492" i="1"/>
  <c r="S492" i="1"/>
  <c r="N493" i="1"/>
  <c r="Q493" i="1"/>
  <c r="R493" i="1"/>
  <c r="S493" i="1"/>
  <c r="N494" i="1"/>
  <c r="Q494" i="1"/>
  <c r="R494" i="1"/>
  <c r="S494" i="1"/>
  <c r="Q495" i="1"/>
  <c r="R495" i="1"/>
  <c r="S495" i="1"/>
  <c r="M496" i="1"/>
  <c r="N496" i="1"/>
  <c r="R496" i="1"/>
  <c r="S496" i="1"/>
  <c r="N497" i="1"/>
  <c r="Q497" i="1"/>
  <c r="R497" i="1"/>
  <c r="S497" i="1"/>
  <c r="N498" i="1"/>
  <c r="Q498" i="1"/>
  <c r="R498" i="1"/>
  <c r="S498" i="1"/>
  <c r="N499" i="1"/>
  <c r="R499" i="1"/>
  <c r="S499" i="1"/>
  <c r="N500" i="1"/>
  <c r="R500" i="1"/>
  <c r="S500" i="1"/>
  <c r="N501" i="1"/>
  <c r="R501" i="1"/>
  <c r="S501" i="1"/>
  <c r="R502" i="1"/>
  <c r="S502" i="1"/>
  <c r="N503" i="1"/>
  <c r="R503" i="1"/>
  <c r="S503" i="1"/>
  <c r="N4" i="1"/>
  <c r="Q4" i="1"/>
  <c r="R4" i="1"/>
  <c r="S4" i="1"/>
  <c r="N6" i="1"/>
  <c r="R6" i="1"/>
  <c r="S6" i="1"/>
  <c r="N7" i="1"/>
  <c r="R7" i="1"/>
  <c r="S7" i="1"/>
  <c r="N8" i="1"/>
  <c r="R8" i="1"/>
  <c r="S8" i="1"/>
  <c r="N9" i="1"/>
  <c r="R9" i="1"/>
  <c r="S9" i="1"/>
  <c r="N10" i="1"/>
  <c r="R10" i="1"/>
  <c r="S10" i="1"/>
  <c r="N11" i="1"/>
  <c r="R11" i="1"/>
  <c r="S1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4" i="1"/>
  <c r="B6" i="1"/>
  <c r="B7" i="1"/>
  <c r="B8" i="1"/>
  <c r="B9" i="1"/>
  <c r="B10" i="1"/>
  <c r="B11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8" i="1"/>
  <c r="B59" i="1"/>
  <c r="B60" i="1"/>
  <c r="B61" i="1"/>
  <c r="B62" i="1"/>
  <c r="B63" i="1"/>
  <c r="B64" i="1"/>
  <c r="B65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2" i="1"/>
  <c r="B93" i="1"/>
  <c r="B94" i="1"/>
  <c r="B95" i="1"/>
  <c r="B96" i="1"/>
  <c r="B97" i="1"/>
  <c r="B98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M63" i="1"/>
  <c r="N30" i="1"/>
  <c r="M14" i="1"/>
  <c r="M30" i="1"/>
  <c r="N296" i="1"/>
  <c r="M268" i="1"/>
  <c r="M160" i="1"/>
  <c r="M381" i="1"/>
  <c r="M167" i="1"/>
  <c r="B3" i="1"/>
  <c r="M495" i="1" l="1"/>
  <c r="M471" i="1"/>
  <c r="M492" i="1"/>
  <c r="M305" i="1"/>
  <c r="N146" i="1"/>
  <c r="M329" i="1"/>
  <c r="M357" i="1"/>
  <c r="O357" i="1" s="1"/>
  <c r="P357" i="1" s="1"/>
  <c r="M351" i="1"/>
  <c r="O351" i="1" s="1"/>
  <c r="P351" i="1" s="1"/>
  <c r="M18" i="1"/>
  <c r="O18" i="1" s="1"/>
  <c r="M320" i="1"/>
  <c r="M131" i="1"/>
  <c r="N405" i="1"/>
  <c r="N478" i="1"/>
  <c r="M463" i="1"/>
  <c r="N461" i="1"/>
  <c r="M445" i="1"/>
  <c r="O445" i="1" s="1"/>
  <c r="P445" i="1" s="1"/>
  <c r="M416" i="1"/>
  <c r="O416" i="1" s="1"/>
  <c r="P416" i="1" s="1"/>
  <c r="M396" i="1"/>
  <c r="O396" i="1" s="1"/>
  <c r="P396" i="1" s="1"/>
  <c r="N370" i="1"/>
  <c r="M364" i="1"/>
  <c r="O364" i="1" s="1"/>
  <c r="P364" i="1" s="1"/>
  <c r="M362" i="1"/>
  <c r="O362" i="1" s="1"/>
  <c r="P362" i="1" s="1"/>
  <c r="M307" i="1"/>
  <c r="M191" i="1"/>
  <c r="O191" i="1" s="1"/>
  <c r="P191" i="1" s="1"/>
  <c r="M144" i="1"/>
  <c r="O144" i="1" s="1"/>
  <c r="P144" i="1" s="1"/>
  <c r="M101" i="1"/>
  <c r="O101" i="1" s="1"/>
  <c r="P101" i="1" s="1"/>
  <c r="M282" i="1"/>
  <c r="O282" i="1" s="1"/>
  <c r="M122" i="1"/>
  <c r="O122" i="1" s="1"/>
  <c r="P122" i="1" s="1"/>
  <c r="M455" i="1"/>
  <c r="O455" i="1" s="1"/>
  <c r="P455" i="1" s="1"/>
  <c r="M380" i="1"/>
  <c r="O380" i="1" s="1"/>
  <c r="P380" i="1" s="1"/>
  <c r="M196" i="1"/>
  <c r="O196" i="1" s="1"/>
  <c r="P196" i="1" s="1"/>
  <c r="M142" i="1"/>
  <c r="O142" i="1" s="1"/>
  <c r="P142" i="1" s="1"/>
  <c r="M29" i="1"/>
  <c r="O29" i="1" s="1"/>
  <c r="M490" i="1"/>
  <c r="O490" i="1" s="1"/>
  <c r="P490" i="1" s="1"/>
  <c r="M448" i="1"/>
  <c r="O448" i="1" s="1"/>
  <c r="M423" i="1"/>
  <c r="O423" i="1" s="1"/>
  <c r="P423" i="1" s="1"/>
  <c r="M346" i="1"/>
  <c r="O346" i="1" s="1"/>
  <c r="P346" i="1" s="1"/>
  <c r="M336" i="1"/>
  <c r="M324" i="1"/>
  <c r="O324" i="1" s="1"/>
  <c r="P324" i="1" s="1"/>
  <c r="N312" i="1"/>
  <c r="M279" i="1"/>
  <c r="O279" i="1" s="1"/>
  <c r="P279" i="1" s="1"/>
  <c r="M254" i="1"/>
  <c r="O254" i="1" s="1"/>
  <c r="M226" i="1"/>
  <c r="O226" i="1" s="1"/>
  <c r="P226" i="1" s="1"/>
  <c r="M194" i="1"/>
  <c r="O194" i="1" s="1"/>
  <c r="M139" i="1"/>
  <c r="M135" i="1"/>
  <c r="O135" i="1" s="1"/>
  <c r="P135" i="1" s="1"/>
  <c r="M58" i="1"/>
  <c r="O58" i="1" s="1"/>
  <c r="P58" i="1" s="1"/>
  <c r="M13" i="1"/>
  <c r="O13" i="1" s="1"/>
  <c r="P13" i="1" s="1"/>
  <c r="N462" i="1"/>
  <c r="M415" i="1"/>
  <c r="N369" i="1"/>
  <c r="M310" i="1"/>
  <c r="O310" i="1" s="1"/>
  <c r="P310" i="1" s="1"/>
  <c r="M291" i="1"/>
  <c r="O291" i="1" s="1"/>
  <c r="P291" i="1" s="1"/>
  <c r="M267" i="1"/>
  <c r="O267" i="1" s="1"/>
  <c r="P267" i="1" s="1"/>
  <c r="M252" i="1"/>
  <c r="O252" i="1" s="1"/>
  <c r="M186" i="1"/>
  <c r="M210" i="1"/>
  <c r="O210" i="1" s="1"/>
  <c r="P210" i="1" s="1"/>
  <c r="M444" i="1"/>
  <c r="O444" i="1" s="1"/>
  <c r="P444" i="1" s="1"/>
  <c r="N442" i="1"/>
  <c r="M387" i="1"/>
  <c r="O387" i="1" s="1"/>
  <c r="P387" i="1" s="1"/>
  <c r="N385" i="1"/>
  <c r="M359" i="1"/>
  <c r="O359" i="1" s="1"/>
  <c r="P359" i="1" s="1"/>
  <c r="M235" i="1"/>
  <c r="O235" i="1" s="1"/>
  <c r="P235" i="1" s="1"/>
  <c r="M211" i="1"/>
  <c r="M180" i="1"/>
  <c r="O180" i="1" s="1"/>
  <c r="P180" i="1" s="1"/>
  <c r="M170" i="1"/>
  <c r="M114" i="1"/>
  <c r="O114" i="1" s="1"/>
  <c r="P114" i="1" s="1"/>
  <c r="M82" i="1"/>
  <c r="N436" i="1"/>
  <c r="N413" i="1"/>
  <c r="N363" i="1"/>
  <c r="M253" i="1"/>
  <c r="O253" i="1" s="1"/>
  <c r="P253" i="1" s="1"/>
  <c r="N246" i="1"/>
  <c r="M239" i="1"/>
  <c r="N200" i="1"/>
  <c r="M151" i="1"/>
  <c r="N141" i="1"/>
  <c r="M138" i="1"/>
  <c r="O138" i="1" s="1"/>
  <c r="N129" i="1"/>
  <c r="N104" i="1"/>
  <c r="N81" i="1"/>
  <c r="M74" i="1"/>
  <c r="O74" i="1" s="1"/>
  <c r="M503" i="1"/>
  <c r="O503" i="1" s="1"/>
  <c r="M494" i="1"/>
  <c r="O494" i="1" s="1"/>
  <c r="P494" i="1" s="1"/>
  <c r="M487" i="1"/>
  <c r="O487" i="1" s="1"/>
  <c r="P487" i="1" s="1"/>
  <c r="M468" i="1"/>
  <c r="O468" i="1" s="1"/>
  <c r="N450" i="1"/>
  <c r="M436" i="1"/>
  <c r="N427" i="1"/>
  <c r="M418" i="1"/>
  <c r="O418" i="1" s="1"/>
  <c r="M384" i="1"/>
  <c r="O384" i="1" s="1"/>
  <c r="P384" i="1" s="1"/>
  <c r="N366" i="1"/>
  <c r="M331" i="1"/>
  <c r="O331" i="1" s="1"/>
  <c r="P331" i="1" s="1"/>
  <c r="M326" i="1"/>
  <c r="N307" i="1"/>
  <c r="M297" i="1"/>
  <c r="N295" i="1"/>
  <c r="M290" i="1"/>
  <c r="O290" i="1" s="1"/>
  <c r="M265" i="1"/>
  <c r="O265" i="1" s="1"/>
  <c r="M244" i="1"/>
  <c r="O244" i="1" s="1"/>
  <c r="M237" i="1"/>
  <c r="O237" i="1" s="1"/>
  <c r="P237" i="1" s="1"/>
  <c r="M230" i="1"/>
  <c r="O230" i="1" s="1"/>
  <c r="P230" i="1" s="1"/>
  <c r="M223" i="1"/>
  <c r="O223" i="1" s="1"/>
  <c r="P223" i="1" s="1"/>
  <c r="M214" i="1"/>
  <c r="O214" i="1" s="1"/>
  <c r="P214" i="1" s="1"/>
  <c r="M165" i="1"/>
  <c r="O165" i="1" s="1"/>
  <c r="M163" i="1"/>
  <c r="M158" i="1"/>
  <c r="O158" i="1" s="1"/>
  <c r="P158" i="1" s="1"/>
  <c r="N156" i="1"/>
  <c r="M141" i="1"/>
  <c r="N134" i="1"/>
  <c r="N118" i="1"/>
  <c r="M113" i="1"/>
  <c r="O113" i="1" s="1"/>
  <c r="P113" i="1" s="1"/>
  <c r="N95" i="1"/>
  <c r="N44" i="1"/>
  <c r="N33" i="1"/>
  <c r="M28" i="1"/>
  <c r="O28" i="1" s="1"/>
  <c r="P28" i="1" s="1"/>
  <c r="M3" i="1"/>
  <c r="O3" i="1" s="1"/>
  <c r="P3" i="1" s="1"/>
  <c r="N489" i="1"/>
  <c r="N473" i="1"/>
  <c r="N466" i="1"/>
  <c r="N377" i="1"/>
  <c r="M317" i="1"/>
  <c r="N300" i="1"/>
  <c r="N284" i="1"/>
  <c r="M251" i="1"/>
  <c r="O251" i="1" s="1"/>
  <c r="M221" i="1"/>
  <c r="O221" i="1" s="1"/>
  <c r="P221" i="1" s="1"/>
  <c r="N219" i="1"/>
  <c r="M193" i="1"/>
  <c r="O193" i="1" s="1"/>
  <c r="P193" i="1" s="1"/>
  <c r="M185" i="1"/>
  <c r="O185" i="1" s="1"/>
  <c r="P185" i="1" s="1"/>
  <c r="M154" i="1"/>
  <c r="M149" i="1"/>
  <c r="O149" i="1" s="1"/>
  <c r="P149" i="1" s="1"/>
  <c r="M93" i="1"/>
  <c r="O93" i="1" s="1"/>
  <c r="M86" i="1"/>
  <c r="O86" i="1" s="1"/>
  <c r="M77" i="1"/>
  <c r="O77" i="1" s="1"/>
  <c r="M44" i="1"/>
  <c r="N249" i="1"/>
  <c r="N247" i="1"/>
  <c r="O247" i="1" s="1"/>
  <c r="N217" i="1"/>
  <c r="M212" i="1"/>
  <c r="O212" i="1" s="1"/>
  <c r="P212" i="1" s="1"/>
  <c r="N82" i="1"/>
  <c r="M231" i="1"/>
  <c r="O231" i="1" s="1"/>
  <c r="P231" i="1" s="1"/>
  <c r="N488" i="1"/>
  <c r="N453" i="1"/>
  <c r="N412" i="1"/>
  <c r="O412" i="1" s="1"/>
  <c r="N261" i="1"/>
  <c r="N186" i="1"/>
  <c r="N121" i="1"/>
  <c r="N80" i="1"/>
  <c r="N383" i="1"/>
  <c r="N287" i="1"/>
  <c r="N157" i="1"/>
  <c r="M87" i="1"/>
  <c r="O87" i="1" s="1"/>
  <c r="P87" i="1" s="1"/>
  <c r="M78" i="1"/>
  <c r="O78" i="1" s="1"/>
  <c r="M71" i="1"/>
  <c r="O71" i="1" s="1"/>
  <c r="P71" i="1" s="1"/>
  <c r="M64" i="1"/>
  <c r="O64" i="1" s="1"/>
  <c r="P64" i="1" s="1"/>
  <c r="M54" i="1"/>
  <c r="O54" i="1" s="1"/>
  <c r="P54" i="1" s="1"/>
  <c r="N52" i="1"/>
  <c r="N50" i="1"/>
  <c r="M45" i="1"/>
  <c r="O45" i="1" s="1"/>
  <c r="M24" i="1"/>
  <c r="O24" i="1" s="1"/>
  <c r="N19" i="1"/>
  <c r="N469" i="1"/>
  <c r="N414" i="1"/>
  <c r="N303" i="1"/>
  <c r="O303" i="1" s="1"/>
  <c r="P303" i="1" s="1"/>
  <c r="M460" i="1"/>
  <c r="O460" i="1" s="1"/>
  <c r="M403" i="1"/>
  <c r="O403" i="1" s="1"/>
  <c r="P403" i="1" s="1"/>
  <c r="N352" i="1"/>
  <c r="M128" i="1"/>
  <c r="O128" i="1" s="1"/>
  <c r="M502" i="1"/>
  <c r="M486" i="1"/>
  <c r="M476" i="1"/>
  <c r="O476" i="1" s="1"/>
  <c r="P476" i="1" s="1"/>
  <c r="M467" i="1"/>
  <c r="O467" i="1" s="1"/>
  <c r="P467" i="1" s="1"/>
  <c r="M458" i="1"/>
  <c r="O458" i="1" s="1"/>
  <c r="M431" i="1"/>
  <c r="O431" i="1" s="1"/>
  <c r="M417" i="1"/>
  <c r="O417" i="1" s="1"/>
  <c r="M410" i="1"/>
  <c r="O410" i="1" s="1"/>
  <c r="M399" i="1"/>
  <c r="O399" i="1" s="1"/>
  <c r="P399" i="1" s="1"/>
  <c r="M392" i="1"/>
  <c r="O392" i="1" s="1"/>
  <c r="P392" i="1" s="1"/>
  <c r="M383" i="1"/>
  <c r="M378" i="1"/>
  <c r="O378" i="1" s="1"/>
  <c r="P378" i="1" s="1"/>
  <c r="M360" i="1"/>
  <c r="O360" i="1" s="1"/>
  <c r="M352" i="1"/>
  <c r="M330" i="1"/>
  <c r="O330" i="1" s="1"/>
  <c r="M301" i="1"/>
  <c r="O301" i="1" s="1"/>
  <c r="P301" i="1" s="1"/>
  <c r="M294" i="1"/>
  <c r="O294" i="1" s="1"/>
  <c r="M255" i="1"/>
  <c r="O255" i="1" s="1"/>
  <c r="M243" i="1"/>
  <c r="O243" i="1" s="1"/>
  <c r="N197" i="1"/>
  <c r="M181" i="1"/>
  <c r="O181" i="1" s="1"/>
  <c r="P181" i="1" s="1"/>
  <c r="M162" i="1"/>
  <c r="O162" i="1" s="1"/>
  <c r="P162" i="1" s="1"/>
  <c r="M140" i="1"/>
  <c r="M133" i="1"/>
  <c r="O133" i="1" s="1"/>
  <c r="P133" i="1" s="1"/>
  <c r="M126" i="1"/>
  <c r="O126" i="1" s="1"/>
  <c r="M117" i="1"/>
  <c r="O117" i="1" s="1"/>
  <c r="P117" i="1" s="1"/>
  <c r="M112" i="1"/>
  <c r="O112" i="1" s="1"/>
  <c r="P112" i="1" s="1"/>
  <c r="N110" i="1"/>
  <c r="M48" i="1"/>
  <c r="O48" i="1" s="1"/>
  <c r="P48" i="1" s="1"/>
  <c r="M27" i="1"/>
  <c r="O27" i="1" s="1"/>
  <c r="M19" i="1"/>
  <c r="M483" i="1"/>
  <c r="M419" i="1"/>
  <c r="O419" i="1" s="1"/>
  <c r="P419" i="1" s="1"/>
  <c r="M215" i="1"/>
  <c r="O215" i="1" s="1"/>
  <c r="P215" i="1" s="1"/>
  <c r="N137" i="1"/>
  <c r="N73" i="1"/>
  <c r="M472" i="1"/>
  <c r="M456" i="1"/>
  <c r="O456" i="1" s="1"/>
  <c r="M420" i="1"/>
  <c r="O420" i="1" s="1"/>
  <c r="N415" i="1"/>
  <c r="M388" i="1"/>
  <c r="O388" i="1" s="1"/>
  <c r="P388" i="1" s="1"/>
  <c r="M376" i="1"/>
  <c r="O376" i="1" s="1"/>
  <c r="P376" i="1" s="1"/>
  <c r="M347" i="1"/>
  <c r="O347" i="1" s="1"/>
  <c r="P347" i="1" s="1"/>
  <c r="M328" i="1"/>
  <c r="O328" i="1" s="1"/>
  <c r="P328" i="1" s="1"/>
  <c r="N323" i="1"/>
  <c r="M306" i="1"/>
  <c r="M299" i="1"/>
  <c r="O299" i="1" s="1"/>
  <c r="P299" i="1" s="1"/>
  <c r="M292" i="1"/>
  <c r="O292" i="1" s="1"/>
  <c r="M283" i="1"/>
  <c r="O283" i="1" s="1"/>
  <c r="P283" i="1" s="1"/>
  <c r="M278" i="1"/>
  <c r="O278" i="1" s="1"/>
  <c r="P278" i="1" s="1"/>
  <c r="N276" i="1"/>
  <c r="M271" i="1"/>
  <c r="O271" i="1" s="1"/>
  <c r="P271" i="1" s="1"/>
  <c r="M250" i="1"/>
  <c r="O250" i="1" s="1"/>
  <c r="P250" i="1" s="1"/>
  <c r="N248" i="1"/>
  <c r="N239" i="1"/>
  <c r="M218" i="1"/>
  <c r="O218" i="1" s="1"/>
  <c r="P218" i="1" s="1"/>
  <c r="N211" i="1"/>
  <c r="N204" i="1"/>
  <c r="M171" i="1"/>
  <c r="O171" i="1" s="1"/>
  <c r="M90" i="1"/>
  <c r="O90" i="1" s="1"/>
  <c r="M85" i="1"/>
  <c r="O85" i="1" s="1"/>
  <c r="N83" i="1"/>
  <c r="M372" i="1"/>
  <c r="O372" i="1" s="1"/>
  <c r="P372" i="1" s="1"/>
  <c r="M391" i="1"/>
  <c r="O391" i="1" s="1"/>
  <c r="M322" i="1"/>
  <c r="O322" i="1" s="1"/>
  <c r="M266" i="1"/>
  <c r="O266" i="1" s="1"/>
  <c r="P266" i="1" s="1"/>
  <c r="M242" i="1"/>
  <c r="O242" i="1" s="1"/>
  <c r="P242" i="1" s="1"/>
  <c r="M52" i="1"/>
  <c r="M498" i="1"/>
  <c r="O498" i="1" s="1"/>
  <c r="P498" i="1" s="1"/>
  <c r="M474" i="1"/>
  <c r="O474" i="1" s="1"/>
  <c r="P474" i="1" s="1"/>
  <c r="M466" i="1"/>
  <c r="M450" i="1"/>
  <c r="M434" i="1"/>
  <c r="O434" i="1" s="1"/>
  <c r="P434" i="1" s="1"/>
  <c r="M426" i="1"/>
  <c r="O426" i="1" s="1"/>
  <c r="P426" i="1" s="1"/>
  <c r="M402" i="1"/>
  <c r="O402" i="1" s="1"/>
  <c r="P402" i="1" s="1"/>
  <c r="M386" i="1"/>
  <c r="O386" i="1" s="1"/>
  <c r="P386" i="1" s="1"/>
  <c r="M370" i="1"/>
  <c r="M338" i="1"/>
  <c r="O338" i="1" s="1"/>
  <c r="P338" i="1" s="1"/>
  <c r="M333" i="1"/>
  <c r="O333" i="1" s="1"/>
  <c r="M309" i="1"/>
  <c r="O309" i="1" s="1"/>
  <c r="P309" i="1" s="1"/>
  <c r="M293" i="1"/>
  <c r="O293" i="1" s="1"/>
  <c r="P293" i="1" s="1"/>
  <c r="M285" i="1"/>
  <c r="O285" i="1" s="1"/>
  <c r="P285" i="1" s="1"/>
  <c r="M277" i="1"/>
  <c r="O277" i="1" s="1"/>
  <c r="P277" i="1" s="1"/>
  <c r="M269" i="1"/>
  <c r="O269" i="1" s="1"/>
  <c r="P269" i="1" s="1"/>
  <c r="M261" i="1"/>
  <c r="M245" i="1"/>
  <c r="O245" i="1" s="1"/>
  <c r="P245" i="1" s="1"/>
  <c r="M229" i="1"/>
  <c r="O229" i="1" s="1"/>
  <c r="P229" i="1" s="1"/>
  <c r="M205" i="1"/>
  <c r="O205" i="1" s="1"/>
  <c r="P205" i="1" s="1"/>
  <c r="M197" i="1"/>
  <c r="M168" i="1"/>
  <c r="O168" i="1" s="1"/>
  <c r="N163" i="1"/>
  <c r="M136" i="1"/>
  <c r="O136" i="1" s="1"/>
  <c r="M120" i="1"/>
  <c r="M104" i="1"/>
  <c r="M80" i="1"/>
  <c r="M72" i="1"/>
  <c r="O72" i="1" s="1"/>
  <c r="P72" i="1" s="1"/>
  <c r="M55" i="1"/>
  <c r="O55" i="1" s="1"/>
  <c r="P55" i="1" s="1"/>
  <c r="M39" i="1"/>
  <c r="O39" i="1" s="1"/>
  <c r="P39" i="1" s="1"/>
  <c r="M31" i="1"/>
  <c r="O31" i="1" s="1"/>
  <c r="P31" i="1" s="1"/>
  <c r="M500" i="1"/>
  <c r="O500" i="1" s="1"/>
  <c r="M295" i="1"/>
  <c r="M106" i="1"/>
  <c r="O106" i="1" s="1"/>
  <c r="M439" i="1"/>
  <c r="O439" i="1" s="1"/>
  <c r="N317" i="1"/>
  <c r="M258" i="1"/>
  <c r="O258" i="1" s="1"/>
  <c r="M234" i="1"/>
  <c r="O234" i="1" s="1"/>
  <c r="P234" i="1" s="1"/>
  <c r="M202" i="1"/>
  <c r="O202" i="1" s="1"/>
  <c r="P202" i="1" s="1"/>
  <c r="M157" i="1"/>
  <c r="M36" i="1"/>
  <c r="O36" i="1" s="1"/>
  <c r="P36" i="1" s="1"/>
  <c r="M493" i="1"/>
  <c r="O493" i="1" s="1"/>
  <c r="P493" i="1" s="1"/>
  <c r="M469" i="1"/>
  <c r="M461" i="1"/>
  <c r="M437" i="1"/>
  <c r="O437" i="1" s="1"/>
  <c r="P437" i="1" s="1"/>
  <c r="M421" i="1"/>
  <c r="O421" i="1" s="1"/>
  <c r="M413" i="1"/>
  <c r="M405" i="1"/>
  <c r="M397" i="1"/>
  <c r="O397" i="1" s="1"/>
  <c r="P397" i="1" s="1"/>
  <c r="M389" i="1"/>
  <c r="O389" i="1" s="1"/>
  <c r="P389" i="1" s="1"/>
  <c r="M373" i="1"/>
  <c r="O373" i="1" s="1"/>
  <c r="M304" i="1"/>
  <c r="O304" i="1" s="1"/>
  <c r="M296" i="1"/>
  <c r="O296" i="1" s="1"/>
  <c r="M288" i="1"/>
  <c r="O288" i="1" s="1"/>
  <c r="P288" i="1" s="1"/>
  <c r="M280" i="1"/>
  <c r="O280" i="1" s="1"/>
  <c r="P280" i="1" s="1"/>
  <c r="M272" i="1"/>
  <c r="O272" i="1" s="1"/>
  <c r="M256" i="1"/>
  <c r="O256" i="1" s="1"/>
  <c r="M248" i="1"/>
  <c r="M240" i="1"/>
  <c r="O240" i="1" s="1"/>
  <c r="M232" i="1"/>
  <c r="O232" i="1" s="1"/>
  <c r="P232" i="1" s="1"/>
  <c r="M224" i="1"/>
  <c r="O224" i="1" s="1"/>
  <c r="P224" i="1" s="1"/>
  <c r="M216" i="1"/>
  <c r="O216" i="1" s="1"/>
  <c r="M208" i="1"/>
  <c r="O208" i="1" s="1"/>
  <c r="P208" i="1" s="1"/>
  <c r="M155" i="1"/>
  <c r="O155" i="1" s="1"/>
  <c r="P155" i="1" s="1"/>
  <c r="M123" i="1"/>
  <c r="O123" i="1" s="1"/>
  <c r="P123" i="1" s="1"/>
  <c r="M107" i="1"/>
  <c r="O107" i="1" s="1"/>
  <c r="M83" i="1"/>
  <c r="M59" i="1"/>
  <c r="O59" i="1" s="1"/>
  <c r="M50" i="1"/>
  <c r="N495" i="1"/>
  <c r="M408" i="1"/>
  <c r="O408" i="1" s="1"/>
  <c r="P408" i="1" s="1"/>
  <c r="M368" i="1"/>
  <c r="O368" i="1" s="1"/>
  <c r="P368" i="1" s="1"/>
  <c r="M166" i="1"/>
  <c r="O166" i="1" s="1"/>
  <c r="P166" i="1" s="1"/>
  <c r="M134" i="1"/>
  <c r="M118" i="1"/>
  <c r="M102" i="1"/>
  <c r="O102" i="1" s="1"/>
  <c r="P102" i="1" s="1"/>
  <c r="M94" i="1"/>
  <c r="O94" i="1" s="1"/>
  <c r="P94" i="1" s="1"/>
  <c r="M70" i="1"/>
  <c r="O70" i="1" s="1"/>
  <c r="P70" i="1" s="1"/>
  <c r="M53" i="1"/>
  <c r="O53" i="1" s="1"/>
  <c r="P53" i="1" s="1"/>
  <c r="M37" i="1"/>
  <c r="O37" i="1" s="1"/>
  <c r="M49" i="1"/>
  <c r="O49" i="1" s="1"/>
  <c r="M424" i="1"/>
  <c r="O424" i="1" s="1"/>
  <c r="M400" i="1"/>
  <c r="O400" i="1" s="1"/>
  <c r="P400" i="1" s="1"/>
  <c r="M203" i="1"/>
  <c r="O203" i="1" s="1"/>
  <c r="P203" i="1" s="1"/>
  <c r="M499" i="1"/>
  <c r="O499" i="1" s="1"/>
  <c r="M475" i="1"/>
  <c r="O475" i="1" s="1"/>
  <c r="P475" i="1" s="1"/>
  <c r="M459" i="1"/>
  <c r="O459" i="1" s="1"/>
  <c r="P459" i="1" s="1"/>
  <c r="M451" i="1"/>
  <c r="O451" i="1" s="1"/>
  <c r="P451" i="1" s="1"/>
  <c r="M443" i="1"/>
  <c r="O443" i="1" s="1"/>
  <c r="P443" i="1" s="1"/>
  <c r="M435" i="1"/>
  <c r="O435" i="1" s="1"/>
  <c r="P435" i="1" s="1"/>
  <c r="M427" i="1"/>
  <c r="M411" i="1"/>
  <c r="O411" i="1" s="1"/>
  <c r="P411" i="1" s="1"/>
  <c r="M395" i="1"/>
  <c r="O395" i="1" s="1"/>
  <c r="P395" i="1" s="1"/>
  <c r="M371" i="1"/>
  <c r="O371" i="1" s="1"/>
  <c r="P371" i="1" s="1"/>
  <c r="M363" i="1"/>
  <c r="N329" i="1"/>
  <c r="M302" i="1"/>
  <c r="O302" i="1" s="1"/>
  <c r="M286" i="1"/>
  <c r="M270" i="1"/>
  <c r="O270" i="1" s="1"/>
  <c r="M246" i="1"/>
  <c r="M238" i="1"/>
  <c r="O238" i="1" s="1"/>
  <c r="P238" i="1" s="1"/>
  <c r="M222" i="1"/>
  <c r="O222" i="1" s="1"/>
  <c r="P222" i="1" s="1"/>
  <c r="M206" i="1"/>
  <c r="O206" i="1" s="1"/>
  <c r="P206" i="1" s="1"/>
  <c r="M198" i="1"/>
  <c r="O198" i="1" s="1"/>
  <c r="P198" i="1" s="1"/>
  <c r="M161" i="1"/>
  <c r="O161" i="1" s="1"/>
  <c r="P161" i="1" s="1"/>
  <c r="M137" i="1"/>
  <c r="M129" i="1"/>
  <c r="M105" i="1"/>
  <c r="O105" i="1" s="1"/>
  <c r="M89" i="1"/>
  <c r="O89" i="1" s="1"/>
  <c r="M81" i="1"/>
  <c r="M73" i="1"/>
  <c r="M65" i="1"/>
  <c r="O65" i="1" s="1"/>
  <c r="P65" i="1" s="1"/>
  <c r="M56" i="1"/>
  <c r="O56" i="1" s="1"/>
  <c r="P56" i="1" s="1"/>
  <c r="M40" i="1"/>
  <c r="O40" i="1" s="1"/>
  <c r="M452" i="1"/>
  <c r="N483" i="1"/>
  <c r="M432" i="1"/>
  <c r="O432" i="1" s="1"/>
  <c r="P432" i="1" s="1"/>
  <c r="M470" i="1"/>
  <c r="O470" i="1" s="1"/>
  <c r="M462" i="1"/>
  <c r="M454" i="1"/>
  <c r="O454" i="1" s="1"/>
  <c r="P454" i="1" s="1"/>
  <c r="M446" i="1"/>
  <c r="O446" i="1" s="1"/>
  <c r="P446" i="1" s="1"/>
  <c r="M438" i="1"/>
  <c r="O438" i="1" s="1"/>
  <c r="M422" i="1"/>
  <c r="O422" i="1" s="1"/>
  <c r="M414" i="1"/>
  <c r="M406" i="1"/>
  <c r="O406" i="1" s="1"/>
  <c r="M398" i="1"/>
  <c r="O398" i="1" s="1"/>
  <c r="P398" i="1" s="1"/>
  <c r="M390" i="1"/>
  <c r="O390" i="1" s="1"/>
  <c r="P390" i="1" s="1"/>
  <c r="M382" i="1"/>
  <c r="O382" i="1" s="1"/>
  <c r="M374" i="1"/>
  <c r="O374" i="1" s="1"/>
  <c r="P374" i="1" s="1"/>
  <c r="M334" i="1"/>
  <c r="O334" i="1" s="1"/>
  <c r="M321" i="1"/>
  <c r="O321" i="1" s="1"/>
  <c r="P321" i="1" s="1"/>
  <c r="M289" i="1"/>
  <c r="O289" i="1" s="1"/>
  <c r="P289" i="1" s="1"/>
  <c r="M273" i="1"/>
  <c r="O273" i="1" s="1"/>
  <c r="M257" i="1"/>
  <c r="O257" i="1" s="1"/>
  <c r="P257" i="1" s="1"/>
  <c r="M249" i="1"/>
  <c r="M225" i="1"/>
  <c r="O225" i="1" s="1"/>
  <c r="M217" i="1"/>
  <c r="M164" i="1"/>
  <c r="O164" i="1" s="1"/>
  <c r="M156" i="1"/>
  <c r="N151" i="1"/>
  <c r="M124" i="1"/>
  <c r="O124" i="1" s="1"/>
  <c r="M116" i="1"/>
  <c r="O116" i="1" s="1"/>
  <c r="M108" i="1"/>
  <c r="O108" i="1" s="1"/>
  <c r="P108" i="1" s="1"/>
  <c r="M100" i="1"/>
  <c r="O100" i="1" s="1"/>
  <c r="P100" i="1" s="1"/>
  <c r="M92" i="1"/>
  <c r="O92" i="1" s="1"/>
  <c r="M84" i="1"/>
  <c r="O84" i="1" s="1"/>
  <c r="P84" i="1" s="1"/>
  <c r="M76" i="1"/>
  <c r="O76" i="1" s="1"/>
  <c r="P76" i="1" s="1"/>
  <c r="M60" i="1"/>
  <c r="O60" i="1" s="1"/>
  <c r="M51" i="1"/>
  <c r="O51" i="1" s="1"/>
  <c r="P51" i="1" s="1"/>
  <c r="M43" i="1"/>
  <c r="O43" i="1" s="1"/>
  <c r="P43" i="1" s="1"/>
  <c r="M35" i="1"/>
  <c r="O35" i="1" s="1"/>
  <c r="P35" i="1" s="1"/>
  <c r="M130" i="1"/>
  <c r="O130" i="1" s="1"/>
  <c r="M488" i="1"/>
  <c r="M323" i="1"/>
  <c r="M219" i="1"/>
  <c r="M497" i="1"/>
  <c r="O497" i="1" s="1"/>
  <c r="P497" i="1" s="1"/>
  <c r="M489" i="1"/>
  <c r="M481" i="1"/>
  <c r="O481" i="1" s="1"/>
  <c r="P481" i="1" s="1"/>
  <c r="M473" i="1"/>
  <c r="M465" i="1"/>
  <c r="O465" i="1" s="1"/>
  <c r="P465" i="1" s="1"/>
  <c r="M457" i="1"/>
  <c r="O457" i="1" s="1"/>
  <c r="P457" i="1" s="1"/>
  <c r="M449" i="1"/>
  <c r="O449" i="1" s="1"/>
  <c r="P449" i="1" s="1"/>
  <c r="M433" i="1"/>
  <c r="O433" i="1" s="1"/>
  <c r="P433" i="1" s="1"/>
  <c r="M425" i="1"/>
  <c r="O425" i="1" s="1"/>
  <c r="M409" i="1"/>
  <c r="O409" i="1" s="1"/>
  <c r="M401" i="1"/>
  <c r="O401" i="1" s="1"/>
  <c r="P401" i="1" s="1"/>
  <c r="M385" i="1"/>
  <c r="M377" i="1"/>
  <c r="M369" i="1"/>
  <c r="M361" i="1"/>
  <c r="O361" i="1" s="1"/>
  <c r="P361" i="1" s="1"/>
  <c r="M337" i="1"/>
  <c r="O337" i="1" s="1"/>
  <c r="M332" i="1"/>
  <c r="O332" i="1" s="1"/>
  <c r="P332" i="1" s="1"/>
  <c r="M308" i="1"/>
  <c r="O308" i="1" s="1"/>
  <c r="P308" i="1" s="1"/>
  <c r="M300" i="1"/>
  <c r="M284" i="1"/>
  <c r="M260" i="1"/>
  <c r="O260" i="1" s="1"/>
  <c r="P260" i="1" s="1"/>
  <c r="M236" i="1"/>
  <c r="O236" i="1" s="1"/>
  <c r="P236" i="1" s="1"/>
  <c r="M220" i="1"/>
  <c r="O220" i="1" s="1"/>
  <c r="P220" i="1" s="1"/>
  <c r="M204" i="1"/>
  <c r="M172" i="1"/>
  <c r="O172" i="1" s="1"/>
  <c r="P172" i="1" s="1"/>
  <c r="M143" i="1"/>
  <c r="O143" i="1" s="1"/>
  <c r="P143" i="1" s="1"/>
  <c r="M127" i="1"/>
  <c r="O127" i="1" s="1"/>
  <c r="P127" i="1" s="1"/>
  <c r="M119" i="1"/>
  <c r="O119" i="1" s="1"/>
  <c r="P119" i="1" s="1"/>
  <c r="M111" i="1"/>
  <c r="O111" i="1" s="1"/>
  <c r="P111" i="1" s="1"/>
  <c r="M103" i="1"/>
  <c r="O103" i="1" s="1"/>
  <c r="P103" i="1" s="1"/>
  <c r="M95" i="1"/>
  <c r="M79" i="1"/>
  <c r="O79" i="1" s="1"/>
  <c r="P79" i="1" s="1"/>
  <c r="M38" i="1"/>
  <c r="O38" i="1" s="1"/>
  <c r="P38" i="1" s="1"/>
  <c r="C129" i="1"/>
  <c r="C121" i="1"/>
  <c r="C113" i="1"/>
  <c r="C105" i="1"/>
  <c r="C97" i="1"/>
  <c r="C89" i="1"/>
  <c r="C81" i="1"/>
  <c r="C73" i="1"/>
  <c r="C65" i="1"/>
  <c r="C56" i="1"/>
  <c r="C48" i="1"/>
  <c r="C40" i="1"/>
  <c r="C32" i="1"/>
  <c r="C24" i="1"/>
  <c r="C16" i="1"/>
  <c r="C7" i="1"/>
  <c r="C422" i="1"/>
  <c r="C326" i="1"/>
  <c r="C157" i="1"/>
  <c r="C125" i="1"/>
  <c r="C93" i="1"/>
  <c r="C61" i="1"/>
  <c r="C52" i="1"/>
  <c r="C44" i="1"/>
  <c r="C36" i="1"/>
  <c r="C28" i="1"/>
  <c r="C20" i="1"/>
  <c r="C11" i="1"/>
  <c r="C148" i="1"/>
  <c r="C116" i="1"/>
  <c r="C84" i="1"/>
  <c r="C51" i="1"/>
  <c r="C19" i="1"/>
  <c r="O125" i="1"/>
  <c r="P125" i="1" s="1"/>
  <c r="O428" i="1"/>
  <c r="P428" i="1" s="1"/>
  <c r="O152" i="1"/>
  <c r="P152" i="1" s="1"/>
  <c r="O381" i="1"/>
  <c r="P381" i="1" s="1"/>
  <c r="O315" i="1"/>
  <c r="P315" i="1" s="1"/>
  <c r="O262" i="1"/>
  <c r="P262" i="1" s="1"/>
  <c r="O47" i="1"/>
  <c r="P47" i="1" s="1"/>
  <c r="O233" i="1"/>
  <c r="P233" i="1" s="1"/>
  <c r="O484" i="1"/>
  <c r="P484" i="1" s="1"/>
  <c r="O41" i="1"/>
  <c r="P41" i="1" s="1"/>
  <c r="O318" i="1"/>
  <c r="P318" i="1" s="1"/>
  <c r="O97" i="1"/>
  <c r="P97" i="1" s="1"/>
  <c r="O274" i="1"/>
  <c r="P274" i="1" s="1"/>
  <c r="O404" i="1"/>
  <c r="P404" i="1" s="1"/>
  <c r="O496" i="1"/>
  <c r="O26" i="1"/>
  <c r="P26" i="1" s="1"/>
  <c r="O429" i="1"/>
  <c r="P429" i="1" s="1"/>
  <c r="O440" i="1"/>
  <c r="P440" i="1" s="1"/>
  <c r="O167" i="1"/>
  <c r="O327" i="1"/>
  <c r="P327" i="1" s="1"/>
  <c r="O259" i="1"/>
  <c r="O30" i="1"/>
  <c r="P30" i="1" s="1"/>
  <c r="O14" i="1"/>
  <c r="O268" i="1"/>
  <c r="P268" i="1" s="1"/>
  <c r="O207" i="1"/>
  <c r="O63" i="1"/>
  <c r="O88" i="1"/>
  <c r="O263" i="1"/>
  <c r="P263" i="1" s="1"/>
  <c r="O195" i="1"/>
  <c r="P195" i="1" s="1"/>
  <c r="O96" i="1"/>
  <c r="P96" i="1" s="1"/>
  <c r="C493" i="1"/>
  <c r="C485" i="1"/>
  <c r="C469" i="1"/>
  <c r="C461" i="1"/>
  <c r="C492" i="1"/>
  <c r="C476" i="1"/>
  <c r="C460" i="1"/>
  <c r="C444" i="1"/>
  <c r="C429" i="1"/>
  <c r="C414" i="1"/>
  <c r="C398" i="1"/>
  <c r="C374" i="1"/>
  <c r="C498" i="1"/>
  <c r="C490" i="1"/>
  <c r="C482" i="1"/>
  <c r="C474" i="1"/>
  <c r="C466" i="1"/>
  <c r="C458" i="1"/>
  <c r="C450" i="1"/>
  <c r="C435" i="1"/>
  <c r="C427" i="1"/>
  <c r="C420" i="1"/>
  <c r="C412" i="1"/>
  <c r="C404" i="1"/>
  <c r="C396" i="1"/>
  <c r="C388" i="1"/>
  <c r="C380" i="1"/>
  <c r="C372" i="1"/>
  <c r="C364" i="1"/>
  <c r="C356" i="1"/>
  <c r="C348" i="1"/>
  <c r="C340" i="1"/>
  <c r="C332" i="1"/>
  <c r="C325" i="1"/>
  <c r="C317" i="1"/>
  <c r="C489" i="1"/>
  <c r="C465" i="1"/>
  <c r="C434" i="1"/>
  <c r="C411" i="1"/>
  <c r="C387" i="1"/>
  <c r="C363" i="1"/>
  <c r="C331" i="1"/>
  <c r="C496" i="1"/>
  <c r="C488" i="1"/>
  <c r="C480" i="1"/>
  <c r="C472" i="1"/>
  <c r="C464" i="1"/>
  <c r="C456" i="1"/>
  <c r="C448" i="1"/>
  <c r="C441" i="1"/>
  <c r="C433" i="1"/>
  <c r="C425" i="1"/>
  <c r="C418" i="1"/>
  <c r="C410" i="1"/>
  <c r="C402" i="1"/>
  <c r="C394" i="1"/>
  <c r="C386" i="1"/>
  <c r="C378" i="1"/>
  <c r="C370" i="1"/>
  <c r="C362" i="1"/>
  <c r="C354" i="1"/>
  <c r="C346" i="1"/>
  <c r="C338" i="1"/>
  <c r="C330" i="1"/>
  <c r="C323" i="1"/>
  <c r="C315" i="1"/>
  <c r="C481" i="1"/>
  <c r="C457" i="1"/>
  <c r="C442" i="1"/>
  <c r="C419" i="1"/>
  <c r="C395" i="1"/>
  <c r="C371" i="1"/>
  <c r="C347" i="1"/>
  <c r="C324" i="1"/>
  <c r="C503" i="1"/>
  <c r="C495" i="1"/>
  <c r="C487" i="1"/>
  <c r="C479" i="1"/>
  <c r="C471" i="1"/>
  <c r="C463" i="1"/>
  <c r="C455" i="1"/>
  <c r="C447" i="1"/>
  <c r="C440" i="1"/>
  <c r="C432" i="1"/>
  <c r="C424" i="1"/>
  <c r="C417" i="1"/>
  <c r="C409" i="1"/>
  <c r="C401" i="1"/>
  <c r="C393" i="1"/>
  <c r="C385" i="1"/>
  <c r="C377" i="1"/>
  <c r="C369" i="1"/>
  <c r="C361" i="1"/>
  <c r="C353" i="1"/>
  <c r="C345" i="1"/>
  <c r="C337" i="1"/>
  <c r="C329" i="1"/>
  <c r="C322" i="1"/>
  <c r="C314" i="1"/>
  <c r="C306" i="1"/>
  <c r="C298" i="1"/>
  <c r="C290" i="1"/>
  <c r="C282" i="1"/>
  <c r="C274" i="1"/>
  <c r="C266" i="1"/>
  <c r="C258" i="1"/>
  <c r="C250" i="1"/>
  <c r="C242" i="1"/>
  <c r="C234" i="1"/>
  <c r="C226" i="1"/>
  <c r="C218" i="1"/>
  <c r="C210" i="1"/>
  <c r="C202" i="1"/>
  <c r="C194" i="1"/>
  <c r="C186" i="1"/>
  <c r="C178" i="1"/>
  <c r="C497" i="1"/>
  <c r="C473" i="1"/>
  <c r="C449" i="1"/>
  <c r="C426" i="1"/>
  <c r="C403" i="1"/>
  <c r="C379" i="1"/>
  <c r="C355" i="1"/>
  <c r="C339" i="1"/>
  <c r="C316" i="1"/>
  <c r="C502" i="1"/>
  <c r="C494" i="1"/>
  <c r="C486" i="1"/>
  <c r="C478" i="1"/>
  <c r="C470" i="1"/>
  <c r="C462" i="1"/>
  <c r="C454" i="1"/>
  <c r="C446" i="1"/>
  <c r="C439" i="1"/>
  <c r="C431" i="1"/>
  <c r="C423" i="1"/>
  <c r="C416" i="1"/>
  <c r="C408" i="1"/>
  <c r="C400" i="1"/>
  <c r="C392" i="1"/>
  <c r="C384" i="1"/>
  <c r="C376" i="1"/>
  <c r="C368" i="1"/>
  <c r="C360" i="1"/>
  <c r="C352" i="1"/>
  <c r="C344" i="1"/>
  <c r="C336" i="1"/>
  <c r="C328" i="1"/>
  <c r="C321" i="1"/>
  <c r="C313" i="1"/>
  <c r="C305" i="1"/>
  <c r="C297" i="1"/>
  <c r="C289" i="1"/>
  <c r="C281" i="1"/>
  <c r="C273" i="1"/>
  <c r="C265" i="1"/>
  <c r="C257" i="1"/>
  <c r="C249" i="1"/>
  <c r="C241" i="1"/>
  <c r="C233" i="1"/>
  <c r="C225" i="1"/>
  <c r="C217" i="1"/>
  <c r="C209" i="1"/>
  <c r="C201" i="1"/>
  <c r="C193" i="1"/>
  <c r="C185" i="1"/>
  <c r="C177" i="1"/>
  <c r="C453" i="1"/>
  <c r="C445" i="1"/>
  <c r="C438" i="1"/>
  <c r="C430" i="1"/>
  <c r="C415" i="1"/>
  <c r="C407" i="1"/>
  <c r="C399" i="1"/>
  <c r="C391" i="1"/>
  <c r="C383" i="1"/>
  <c r="C375" i="1"/>
  <c r="C367" i="1"/>
  <c r="C359" i="1"/>
  <c r="C351" i="1"/>
  <c r="C343" i="1"/>
  <c r="C335" i="1"/>
  <c r="C327" i="1"/>
  <c r="C320" i="1"/>
  <c r="C312" i="1"/>
  <c r="C304" i="1"/>
  <c r="C296" i="1"/>
  <c r="C288" i="1"/>
  <c r="C280" i="1"/>
  <c r="C272" i="1"/>
  <c r="C264" i="1"/>
  <c r="C256" i="1"/>
  <c r="C248" i="1"/>
  <c r="C240" i="1"/>
  <c r="C232" i="1"/>
  <c r="C224" i="1"/>
  <c r="C216" i="1"/>
  <c r="C208" i="1"/>
  <c r="C200" i="1"/>
  <c r="C192" i="1"/>
  <c r="C501" i="1"/>
  <c r="C477" i="1"/>
  <c r="C334" i="1"/>
  <c r="C319" i="1"/>
  <c r="C500" i="1"/>
  <c r="C484" i="1"/>
  <c r="C468" i="1"/>
  <c r="C452" i="1"/>
  <c r="C437" i="1"/>
  <c r="C406" i="1"/>
  <c r="C390" i="1"/>
  <c r="C382" i="1"/>
  <c r="C366" i="1"/>
  <c r="C358" i="1"/>
  <c r="C350" i="1"/>
  <c r="C342" i="1"/>
  <c r="C499" i="1"/>
  <c r="C491" i="1"/>
  <c r="C483" i="1"/>
  <c r="C475" i="1"/>
  <c r="C467" i="1"/>
  <c r="C459" i="1"/>
  <c r="C451" i="1"/>
  <c r="C443" i="1"/>
  <c r="C436" i="1"/>
  <c r="C428" i="1"/>
  <c r="C421" i="1"/>
  <c r="C413" i="1"/>
  <c r="C405" i="1"/>
  <c r="C397" i="1"/>
  <c r="C389" i="1"/>
  <c r="C381" i="1"/>
  <c r="C373" i="1"/>
  <c r="C365" i="1"/>
  <c r="C357" i="1"/>
  <c r="C349" i="1"/>
  <c r="C341" i="1"/>
  <c r="C333" i="1"/>
  <c r="C318" i="1"/>
  <c r="C310" i="1"/>
  <c r="C302" i="1"/>
  <c r="C294" i="1"/>
  <c r="C286" i="1"/>
  <c r="C278" i="1"/>
  <c r="C270" i="1"/>
  <c r="C262" i="1"/>
  <c r="C254" i="1"/>
  <c r="C246" i="1"/>
  <c r="C238" i="1"/>
  <c r="C230" i="1"/>
  <c r="C222" i="1"/>
  <c r="C214" i="1"/>
  <c r="C206" i="1"/>
  <c r="C198" i="1"/>
  <c r="C190" i="1"/>
  <c r="C182" i="1"/>
  <c r="C174" i="1"/>
  <c r="C184" i="1"/>
  <c r="C176" i="1"/>
  <c r="C311" i="1"/>
  <c r="C303" i="1"/>
  <c r="C295" i="1"/>
  <c r="C287" i="1"/>
  <c r="C279" i="1"/>
  <c r="C271" i="1"/>
  <c r="C263" i="1"/>
  <c r="C255" i="1"/>
  <c r="C247" i="1"/>
  <c r="C239" i="1"/>
  <c r="C231" i="1"/>
  <c r="C223" i="1"/>
  <c r="C215" i="1"/>
  <c r="C207" i="1"/>
  <c r="C199" i="1"/>
  <c r="C191" i="1"/>
  <c r="C183" i="1"/>
  <c r="C175" i="1"/>
  <c r="C309" i="1"/>
  <c r="C301" i="1"/>
  <c r="C293" i="1"/>
  <c r="C285" i="1"/>
  <c r="C277" i="1"/>
  <c r="C269" i="1"/>
  <c r="C261" i="1"/>
  <c r="C253" i="1"/>
  <c r="C245" i="1"/>
  <c r="C237" i="1"/>
  <c r="C229" i="1"/>
  <c r="C221" i="1"/>
  <c r="C213" i="1"/>
  <c r="C205" i="1"/>
  <c r="C197" i="1"/>
  <c r="C189" i="1"/>
  <c r="C181" i="1"/>
  <c r="C173" i="1"/>
  <c r="C308" i="1"/>
  <c r="C300" i="1"/>
  <c r="C292" i="1"/>
  <c r="C284" i="1"/>
  <c r="C276" i="1"/>
  <c r="C268" i="1"/>
  <c r="C260" i="1"/>
  <c r="C252" i="1"/>
  <c r="C244" i="1"/>
  <c r="C236" i="1"/>
  <c r="C228" i="1"/>
  <c r="C220" i="1"/>
  <c r="C212" i="1"/>
  <c r="C204" i="1"/>
  <c r="C196" i="1"/>
  <c r="C188" i="1"/>
  <c r="C180" i="1"/>
  <c r="C172" i="1"/>
  <c r="C307" i="1"/>
  <c r="C299" i="1"/>
  <c r="C291" i="1"/>
  <c r="C283" i="1"/>
  <c r="C275" i="1"/>
  <c r="C267" i="1"/>
  <c r="C259" i="1"/>
  <c r="C251" i="1"/>
  <c r="C243" i="1"/>
  <c r="C235" i="1"/>
  <c r="C227" i="1"/>
  <c r="C219" i="1"/>
  <c r="C211" i="1"/>
  <c r="C203" i="1"/>
  <c r="C195" i="1"/>
  <c r="C187" i="1"/>
  <c r="C179" i="1"/>
  <c r="C154" i="1"/>
  <c r="C98" i="1"/>
  <c r="C33" i="1"/>
  <c r="C146" i="1"/>
  <c r="C90" i="1"/>
  <c r="C41" i="1"/>
  <c r="C169" i="1"/>
  <c r="C161" i="1"/>
  <c r="C153" i="1"/>
  <c r="C145" i="1"/>
  <c r="C137" i="1"/>
  <c r="C170" i="1"/>
  <c r="C114" i="1"/>
  <c r="C8" i="1"/>
  <c r="C168" i="1"/>
  <c r="C160" i="1"/>
  <c r="C152" i="1"/>
  <c r="C144" i="1"/>
  <c r="C136" i="1"/>
  <c r="C128" i="1"/>
  <c r="C120" i="1"/>
  <c r="C112" i="1"/>
  <c r="C104" i="1"/>
  <c r="C96" i="1"/>
  <c r="C88" i="1"/>
  <c r="C80" i="1"/>
  <c r="C72" i="1"/>
  <c r="C64" i="1"/>
  <c r="C55" i="1"/>
  <c r="C47" i="1"/>
  <c r="C39" i="1"/>
  <c r="C31" i="1"/>
  <c r="C23" i="1"/>
  <c r="C15" i="1"/>
  <c r="C6" i="1"/>
  <c r="C162" i="1"/>
  <c r="C106" i="1"/>
  <c r="C58" i="1"/>
  <c r="C167" i="1"/>
  <c r="C151" i="1"/>
  <c r="C135" i="1"/>
  <c r="C127" i="1"/>
  <c r="C119" i="1"/>
  <c r="C111" i="1"/>
  <c r="C103" i="1"/>
  <c r="C95" i="1"/>
  <c r="C87" i="1"/>
  <c r="C79" i="1"/>
  <c r="C71" i="1"/>
  <c r="C63" i="1"/>
  <c r="C54" i="1"/>
  <c r="C46" i="1"/>
  <c r="C38" i="1"/>
  <c r="C30" i="1"/>
  <c r="C22" i="1"/>
  <c r="C14" i="1"/>
  <c r="C4" i="1"/>
  <c r="C138" i="1"/>
  <c r="C82" i="1"/>
  <c r="C49" i="1"/>
  <c r="C143" i="1"/>
  <c r="C166" i="1"/>
  <c r="C158" i="1"/>
  <c r="C150" i="1"/>
  <c r="C142" i="1"/>
  <c r="C134" i="1"/>
  <c r="C126" i="1"/>
  <c r="C118" i="1"/>
  <c r="C110" i="1"/>
  <c r="C102" i="1"/>
  <c r="C94" i="1"/>
  <c r="C86" i="1"/>
  <c r="C78" i="1"/>
  <c r="C70" i="1"/>
  <c r="C62" i="1"/>
  <c r="C53" i="1"/>
  <c r="C45" i="1"/>
  <c r="C37" i="1"/>
  <c r="C29" i="1"/>
  <c r="C21" i="1"/>
  <c r="C13" i="1"/>
  <c r="C122" i="1"/>
  <c r="C17" i="1"/>
  <c r="C159" i="1"/>
  <c r="C165" i="1"/>
  <c r="C149" i="1"/>
  <c r="C141" i="1"/>
  <c r="C133" i="1"/>
  <c r="C117" i="1"/>
  <c r="C109" i="1"/>
  <c r="C101" i="1"/>
  <c r="C85" i="1"/>
  <c r="C77" i="1"/>
  <c r="C130" i="1"/>
  <c r="C74" i="1"/>
  <c r="C25" i="1"/>
  <c r="C164" i="1"/>
  <c r="C156" i="1"/>
  <c r="C140" i="1"/>
  <c r="C132" i="1"/>
  <c r="C124" i="1"/>
  <c r="C108" i="1"/>
  <c r="C100" i="1"/>
  <c r="C92" i="1"/>
  <c r="C76" i="1"/>
  <c r="C60" i="1"/>
  <c r="C43" i="1"/>
  <c r="C35" i="1"/>
  <c r="C27" i="1"/>
  <c r="C10" i="1"/>
  <c r="C171" i="1"/>
  <c r="C163" i="1"/>
  <c r="C155" i="1"/>
  <c r="C147" i="1"/>
  <c r="C139" i="1"/>
  <c r="C131" i="1"/>
  <c r="C123" i="1"/>
  <c r="C115" i="1"/>
  <c r="C107" i="1"/>
  <c r="C83" i="1"/>
  <c r="C75" i="1"/>
  <c r="C59" i="1"/>
  <c r="C50" i="1"/>
  <c r="C42" i="1"/>
  <c r="C34" i="1"/>
  <c r="C26" i="1"/>
  <c r="C18" i="1"/>
  <c r="C9" i="1"/>
  <c r="C3" i="1"/>
  <c r="P165" i="1" l="1"/>
  <c r="Q165" i="1"/>
  <c r="O249" i="1"/>
  <c r="P249" i="1" s="1"/>
  <c r="O369" i="1"/>
  <c r="P369" i="1" s="1"/>
  <c r="O217" i="1"/>
  <c r="P217" i="1" s="1"/>
  <c r="O197" i="1"/>
  <c r="P197" i="1" s="1"/>
  <c r="P105" i="1"/>
  <c r="Q105" i="1"/>
  <c r="P63" i="1"/>
  <c r="Q63" i="1"/>
  <c r="P60" i="1"/>
  <c r="O469" i="1"/>
  <c r="P469" i="1" s="1"/>
  <c r="O307" i="1"/>
  <c r="P307" i="1" s="1"/>
  <c r="O204" i="1"/>
  <c r="P204" i="1" s="1"/>
  <c r="O363" i="1"/>
  <c r="P363" i="1" s="1"/>
  <c r="P29" i="1"/>
  <c r="Q29" i="1"/>
  <c r="P24" i="1"/>
  <c r="Q24" i="1"/>
  <c r="O129" i="1"/>
  <c r="P129" i="1" s="1"/>
  <c r="O118" i="1"/>
  <c r="P118" i="1" s="1"/>
  <c r="O295" i="1"/>
  <c r="P295" i="1" s="1"/>
  <c r="O141" i="1"/>
  <c r="O450" i="1"/>
  <c r="P450" i="1" s="1"/>
  <c r="O156" i="1"/>
  <c r="P156" i="1" s="1"/>
  <c r="O157" i="1"/>
  <c r="P157" i="1" s="1"/>
  <c r="O495" i="1"/>
  <c r="P495" i="1" s="1"/>
  <c r="O413" i="1"/>
  <c r="P413" i="1" s="1"/>
  <c r="Q116" i="1"/>
  <c r="P116" i="1"/>
  <c r="Q413" i="1"/>
  <c r="Q460" i="1"/>
  <c r="P460" i="1"/>
  <c r="Q77" i="1"/>
  <c r="P77" i="1"/>
  <c r="Q138" i="1"/>
  <c r="P138" i="1"/>
  <c r="Q216" i="1"/>
  <c r="P216" i="1"/>
  <c r="Q468" i="1"/>
  <c r="P468" i="1"/>
  <c r="Q90" i="1"/>
  <c r="P90" i="1"/>
  <c r="Q207" i="1"/>
  <c r="P207" i="1"/>
  <c r="Q409" i="1"/>
  <c r="P409" i="1"/>
  <c r="Q124" i="1"/>
  <c r="P124" i="1"/>
  <c r="Q171" i="1"/>
  <c r="P171" i="1"/>
  <c r="Q252" i="1"/>
  <c r="P252" i="1"/>
  <c r="Q337" i="1"/>
  <c r="P337" i="1"/>
  <c r="Q251" i="1"/>
  <c r="P251" i="1"/>
  <c r="Q156" i="1"/>
  <c r="Q422" i="1"/>
  <c r="P422" i="1"/>
  <c r="Q129" i="1"/>
  <c r="Q270" i="1"/>
  <c r="P270" i="1"/>
  <c r="Q304" i="1"/>
  <c r="P304" i="1"/>
  <c r="Q391" i="1"/>
  <c r="P391" i="1"/>
  <c r="Q243" i="1"/>
  <c r="P243" i="1"/>
  <c r="Q93" i="1"/>
  <c r="P93" i="1"/>
  <c r="Q244" i="1"/>
  <c r="P244" i="1"/>
  <c r="Q194" i="1"/>
  <c r="P194" i="1"/>
  <c r="Q89" i="1"/>
  <c r="P89" i="1"/>
  <c r="Q431" i="1"/>
  <c r="P431" i="1"/>
  <c r="Q425" i="1"/>
  <c r="P425" i="1"/>
  <c r="Q406" i="1"/>
  <c r="P406" i="1"/>
  <c r="Q421" i="1"/>
  <c r="P421" i="1"/>
  <c r="Q360" i="1"/>
  <c r="P360" i="1"/>
  <c r="Q258" i="1"/>
  <c r="P258" i="1"/>
  <c r="Q322" i="1"/>
  <c r="P322" i="1"/>
  <c r="Q86" i="1"/>
  <c r="P86" i="1"/>
  <c r="Q88" i="1"/>
  <c r="P88" i="1"/>
  <c r="Q164" i="1"/>
  <c r="P164" i="1"/>
  <c r="Q334" i="1"/>
  <c r="P334" i="1"/>
  <c r="Q438" i="1"/>
  <c r="P438" i="1"/>
  <c r="Q40" i="1"/>
  <c r="P40" i="1"/>
  <c r="Q424" i="1"/>
  <c r="P424" i="1"/>
  <c r="O134" i="1"/>
  <c r="P134" i="1" s="1"/>
  <c r="Q240" i="1"/>
  <c r="P240" i="1"/>
  <c r="Q373" i="1"/>
  <c r="P373" i="1"/>
  <c r="Q439" i="1"/>
  <c r="P439" i="1"/>
  <c r="Q292" i="1"/>
  <c r="P292" i="1"/>
  <c r="Q255" i="1"/>
  <c r="P255" i="1"/>
  <c r="Q265" i="1"/>
  <c r="P265" i="1"/>
  <c r="Q503" i="1"/>
  <c r="P503" i="1"/>
  <c r="Q448" i="1"/>
  <c r="P448" i="1"/>
  <c r="Q282" i="1"/>
  <c r="P282" i="1"/>
  <c r="Q470" i="1"/>
  <c r="P470" i="1"/>
  <c r="Q273" i="1"/>
  <c r="P273" i="1"/>
  <c r="Q130" i="1"/>
  <c r="P130" i="1"/>
  <c r="Q92" i="1"/>
  <c r="P92" i="1"/>
  <c r="Q302" i="1"/>
  <c r="P302" i="1"/>
  <c r="Q49" i="1"/>
  <c r="P49" i="1"/>
  <c r="Q107" i="1"/>
  <c r="P107" i="1"/>
  <c r="Q106" i="1"/>
  <c r="P106" i="1"/>
  <c r="Q420" i="1"/>
  <c r="P420" i="1"/>
  <c r="Q126" i="1"/>
  <c r="P126" i="1"/>
  <c r="Q294" i="1"/>
  <c r="P294" i="1"/>
  <c r="Q78" i="1"/>
  <c r="P78" i="1"/>
  <c r="Q290" i="1"/>
  <c r="P290" i="1"/>
  <c r="Q418" i="1"/>
  <c r="P418" i="1"/>
  <c r="Q74" i="1"/>
  <c r="P74" i="1"/>
  <c r="Q254" i="1"/>
  <c r="P254" i="1"/>
  <c r="Q499" i="1"/>
  <c r="P499" i="1"/>
  <c r="Q458" i="1"/>
  <c r="P458" i="1"/>
  <c r="Q296" i="1"/>
  <c r="P296" i="1"/>
  <c r="Q225" i="1"/>
  <c r="P225" i="1"/>
  <c r="Q382" i="1"/>
  <c r="P382" i="1"/>
  <c r="Q256" i="1"/>
  <c r="P256" i="1"/>
  <c r="Q295" i="1"/>
  <c r="Q456" i="1"/>
  <c r="P456" i="1"/>
  <c r="Q27" i="1"/>
  <c r="P27" i="1"/>
  <c r="Q410" i="1"/>
  <c r="P410" i="1"/>
  <c r="Q128" i="1"/>
  <c r="P128" i="1"/>
  <c r="Q412" i="1"/>
  <c r="P412" i="1"/>
  <c r="Q247" i="1"/>
  <c r="P247" i="1"/>
  <c r="Q259" i="1"/>
  <c r="P259" i="1"/>
  <c r="Q59" i="1"/>
  <c r="P59" i="1"/>
  <c r="Q167" i="1"/>
  <c r="P167" i="1"/>
  <c r="Q496" i="1"/>
  <c r="P496" i="1"/>
  <c r="Q249" i="1"/>
  <c r="O73" i="1"/>
  <c r="P73" i="1" s="1"/>
  <c r="Q272" i="1"/>
  <c r="P272" i="1"/>
  <c r="O405" i="1"/>
  <c r="P405" i="1" s="1"/>
  <c r="Q157" i="1"/>
  <c r="Q500" i="1"/>
  <c r="P500" i="1"/>
  <c r="Q136" i="1"/>
  <c r="P136" i="1"/>
  <c r="Q85" i="1"/>
  <c r="P85" i="1"/>
  <c r="Q330" i="1"/>
  <c r="P330" i="1"/>
  <c r="Q417" i="1"/>
  <c r="P417" i="1"/>
  <c r="O352" i="1"/>
  <c r="P352" i="1" s="1"/>
  <c r="O473" i="1"/>
  <c r="P473" i="1" s="1"/>
  <c r="O329" i="1"/>
  <c r="P329" i="1" s="1"/>
  <c r="O50" i="1"/>
  <c r="O219" i="1"/>
  <c r="O488" i="1"/>
  <c r="O163" i="1"/>
  <c r="P163" i="1" s="1"/>
  <c r="O461" i="1"/>
  <c r="O466" i="1"/>
  <c r="P466" i="1" s="1"/>
  <c r="O186" i="1"/>
  <c r="P186" i="1" s="1"/>
  <c r="O81" i="1"/>
  <c r="O239" i="1"/>
  <c r="P239" i="1" s="1"/>
  <c r="O462" i="1"/>
  <c r="O246" i="1"/>
  <c r="O95" i="1"/>
  <c r="O427" i="1"/>
  <c r="P427" i="1" s="1"/>
  <c r="O83" i="1"/>
  <c r="O415" i="1"/>
  <c r="O19" i="1"/>
  <c r="O44" i="1"/>
  <c r="P44" i="1" s="1"/>
  <c r="O323" i="1"/>
  <c r="O317" i="1"/>
  <c r="P317" i="1" s="1"/>
  <c r="O261" i="1"/>
  <c r="P261" i="1" s="1"/>
  <c r="O383" i="1"/>
  <c r="P383" i="1" s="1"/>
  <c r="O151" i="1"/>
  <c r="P151" i="1" s="1"/>
  <c r="O489" i="1"/>
  <c r="O284" i="1"/>
  <c r="P284" i="1" s="1"/>
  <c r="O137" i="1"/>
  <c r="P137" i="1" s="1"/>
  <c r="O483" i="1"/>
  <c r="P483" i="1" s="1"/>
  <c r="O300" i="1"/>
  <c r="P300" i="1" s="1"/>
  <c r="O370" i="1"/>
  <c r="P370" i="1" s="1"/>
  <c r="O52" i="1"/>
  <c r="O414" i="1"/>
  <c r="O80" i="1"/>
  <c r="O436" i="1"/>
  <c r="O385" i="1"/>
  <c r="O82" i="1"/>
  <c r="O211" i="1"/>
  <c r="P211" i="1" s="1"/>
  <c r="O104" i="1"/>
  <c r="M148" i="1"/>
  <c r="O148" i="1" s="1"/>
  <c r="P148" i="1" s="1"/>
  <c r="M316" i="1"/>
  <c r="O316" i="1" s="1"/>
  <c r="P316" i="1" s="1"/>
  <c r="M479" i="1"/>
  <c r="O479" i="1" s="1"/>
  <c r="P479" i="1" s="1"/>
  <c r="M313" i="1"/>
  <c r="O313" i="1" s="1"/>
  <c r="P313" i="1" s="1"/>
  <c r="M150" i="1"/>
  <c r="O150" i="1" s="1"/>
  <c r="P150" i="1" s="1"/>
  <c r="M147" i="1"/>
  <c r="O147" i="1" s="1"/>
  <c r="P147" i="1" s="1"/>
  <c r="M23" i="1"/>
  <c r="O23" i="1" s="1"/>
  <c r="M33" i="1"/>
  <c r="O33" i="1" s="1"/>
  <c r="P33" i="1" s="1"/>
  <c r="M356" i="1"/>
  <c r="O356" i="1" s="1"/>
  <c r="P356" i="1" s="1"/>
  <c r="M366" i="1"/>
  <c r="O366" i="1" s="1"/>
  <c r="P366" i="1" s="1"/>
  <c r="M480" i="1"/>
  <c r="O480" i="1" s="1"/>
  <c r="P480" i="1" s="1"/>
  <c r="M20" i="1"/>
  <c r="O20" i="1" s="1"/>
  <c r="P20" i="1" s="1"/>
  <c r="M190" i="1"/>
  <c r="O190" i="1" s="1"/>
  <c r="P190" i="1" s="1"/>
  <c r="M200" i="1"/>
  <c r="O200" i="1" s="1"/>
  <c r="P200" i="1" s="1"/>
  <c r="M314" i="1"/>
  <c r="O314" i="1" s="1"/>
  <c r="P314" i="1" s="1"/>
  <c r="M353" i="1"/>
  <c r="O353" i="1" s="1"/>
  <c r="P353" i="1" s="1"/>
  <c r="M482" i="1"/>
  <c r="O482" i="1" s="1"/>
  <c r="P482" i="1" s="1"/>
  <c r="M187" i="1"/>
  <c r="O187" i="1" s="1"/>
  <c r="P187" i="1" s="1"/>
  <c r="O377" i="1"/>
  <c r="P377" i="1" s="1"/>
  <c r="O248" i="1"/>
  <c r="M22" i="1"/>
  <c r="O22" i="1" s="1"/>
  <c r="M32" i="1"/>
  <c r="O32" i="1" s="1"/>
  <c r="M110" i="1"/>
  <c r="O110" i="1" s="1"/>
  <c r="M115" i="1"/>
  <c r="O115" i="1" s="1"/>
  <c r="N131" i="1"/>
  <c r="O131" i="1" s="1"/>
  <c r="P131" i="1" s="1"/>
  <c r="M153" i="1"/>
  <c r="O153" i="1" s="1"/>
  <c r="P153" i="1" s="1"/>
  <c r="M176" i="1"/>
  <c r="O176" i="1" s="1"/>
  <c r="M184" i="1"/>
  <c r="O184" i="1" s="1"/>
  <c r="M192" i="1"/>
  <c r="O192" i="1" s="1"/>
  <c r="M227" i="1"/>
  <c r="O227" i="1" s="1"/>
  <c r="P227" i="1" s="1"/>
  <c r="M241" i="1"/>
  <c r="O241" i="1" s="1"/>
  <c r="M339" i="1"/>
  <c r="O339" i="1" s="1"/>
  <c r="P339" i="1" s="1"/>
  <c r="M355" i="1"/>
  <c r="O355" i="1" s="1"/>
  <c r="M365" i="1"/>
  <c r="O365" i="1" s="1"/>
  <c r="M447" i="1"/>
  <c r="O447" i="1" s="1"/>
  <c r="N463" i="1"/>
  <c r="O463" i="1" s="1"/>
  <c r="P463" i="1" s="1"/>
  <c r="M491" i="1"/>
  <c r="O491" i="1" s="1"/>
  <c r="M6" i="1"/>
  <c r="O6" i="1" s="1"/>
  <c r="M349" i="1"/>
  <c r="O349" i="1" s="1"/>
  <c r="P349" i="1" s="1"/>
  <c r="M367" i="1"/>
  <c r="O367" i="1" s="1"/>
  <c r="P367" i="1" s="1"/>
  <c r="M8" i="1"/>
  <c r="O8" i="1" s="1"/>
  <c r="M394" i="1"/>
  <c r="O394" i="1" s="1"/>
  <c r="M407" i="1"/>
  <c r="O407" i="1" s="1"/>
  <c r="M62" i="1"/>
  <c r="O62" i="1" s="1"/>
  <c r="M145" i="1"/>
  <c r="O145" i="1" s="1"/>
  <c r="N160" i="1"/>
  <c r="O160" i="1" s="1"/>
  <c r="P160" i="1" s="1"/>
  <c r="M173" i="1"/>
  <c r="O173" i="1" s="1"/>
  <c r="P173" i="1" s="1"/>
  <c r="M189" i="1"/>
  <c r="O189" i="1" s="1"/>
  <c r="M199" i="1"/>
  <c r="O199" i="1" s="1"/>
  <c r="M213" i="1"/>
  <c r="O213" i="1" s="1"/>
  <c r="M264" i="1"/>
  <c r="O264" i="1" s="1"/>
  <c r="P264" i="1" s="1"/>
  <c r="M287" i="1"/>
  <c r="O287" i="1" s="1"/>
  <c r="P287" i="1" s="1"/>
  <c r="N306" i="1"/>
  <c r="O306" i="1" s="1"/>
  <c r="P306" i="1" s="1"/>
  <c r="M325" i="1"/>
  <c r="O325" i="1" s="1"/>
  <c r="M344" i="1"/>
  <c r="O344" i="1" s="1"/>
  <c r="M442" i="1"/>
  <c r="O442" i="1" s="1"/>
  <c r="N472" i="1"/>
  <c r="O472" i="1" s="1"/>
  <c r="P472" i="1" s="1"/>
  <c r="M11" i="1"/>
  <c r="O11" i="1" s="1"/>
  <c r="N140" i="1"/>
  <c r="O140" i="1" s="1"/>
  <c r="M275" i="1"/>
  <c r="O275" i="1" s="1"/>
  <c r="N502" i="1"/>
  <c r="O502" i="1" s="1"/>
  <c r="M183" i="1"/>
  <c r="O183" i="1" s="1"/>
  <c r="P183" i="1" s="1"/>
  <c r="M354" i="1"/>
  <c r="O354" i="1" s="1"/>
  <c r="M312" i="1"/>
  <c r="O312" i="1" s="1"/>
  <c r="P312" i="1" s="1"/>
  <c r="N336" i="1"/>
  <c r="O336" i="1" s="1"/>
  <c r="M464" i="1"/>
  <c r="O464" i="1" s="1"/>
  <c r="P464" i="1" s="1"/>
  <c r="M16" i="1"/>
  <c r="O16" i="1" s="1"/>
  <c r="P16" i="1" s="1"/>
  <c r="M34" i="1"/>
  <c r="O34" i="1" s="1"/>
  <c r="P34" i="1" s="1"/>
  <c r="M121" i="1"/>
  <c r="O121" i="1" s="1"/>
  <c r="P121" i="1" s="1"/>
  <c r="M178" i="1"/>
  <c r="O178" i="1" s="1"/>
  <c r="M341" i="1"/>
  <c r="O341" i="1" s="1"/>
  <c r="P341" i="1" s="1"/>
  <c r="M453" i="1"/>
  <c r="O453" i="1" s="1"/>
  <c r="P453" i="1" s="1"/>
  <c r="N486" i="1"/>
  <c r="O486" i="1" s="1"/>
  <c r="P486" i="1" s="1"/>
  <c r="M375" i="1"/>
  <c r="O375" i="1" s="1"/>
  <c r="M343" i="1"/>
  <c r="O343" i="1" s="1"/>
  <c r="M441" i="1"/>
  <c r="O441" i="1" s="1"/>
  <c r="M501" i="1"/>
  <c r="O501" i="1" s="1"/>
  <c r="M21" i="1"/>
  <c r="O21" i="1" s="1"/>
  <c r="M109" i="1"/>
  <c r="O109" i="1" s="1"/>
  <c r="M159" i="1"/>
  <c r="O159" i="1" s="1"/>
  <c r="M175" i="1"/>
  <c r="O175" i="1" s="1"/>
  <c r="P175" i="1" s="1"/>
  <c r="M201" i="1"/>
  <c r="O201" i="1" s="1"/>
  <c r="P201" i="1" s="1"/>
  <c r="M298" i="1"/>
  <c r="O298" i="1" s="1"/>
  <c r="P298" i="1" s="1"/>
  <c r="M478" i="1"/>
  <c r="O478" i="1" s="1"/>
  <c r="P478" i="1" s="1"/>
  <c r="M4" i="1"/>
  <c r="O4" i="1" s="1"/>
  <c r="P4" i="1" s="1"/>
  <c r="M42" i="1"/>
  <c r="O42" i="1" s="1"/>
  <c r="M61" i="1"/>
  <c r="O61" i="1" s="1"/>
  <c r="P61" i="1" s="1"/>
  <c r="M75" i="1"/>
  <c r="O75" i="1" s="1"/>
  <c r="M98" i="1"/>
  <c r="O98" i="1" s="1"/>
  <c r="P98" i="1" s="1"/>
  <c r="M132" i="1"/>
  <c r="O132" i="1" s="1"/>
  <c r="P132" i="1" s="1"/>
  <c r="N170" i="1"/>
  <c r="O170" i="1" s="1"/>
  <c r="M188" i="1"/>
  <c r="O188" i="1" s="1"/>
  <c r="N305" i="1"/>
  <c r="O305" i="1" s="1"/>
  <c r="P305" i="1" s="1"/>
  <c r="N320" i="1"/>
  <c r="O320" i="1" s="1"/>
  <c r="P320" i="1" s="1"/>
  <c r="M430" i="1"/>
  <c r="O430" i="1" s="1"/>
  <c r="P430" i="1" s="1"/>
  <c r="M15" i="1"/>
  <c r="O15" i="1" s="1"/>
  <c r="N139" i="1"/>
  <c r="O139" i="1" s="1"/>
  <c r="P139" i="1" s="1"/>
  <c r="M177" i="1"/>
  <c r="O177" i="1" s="1"/>
  <c r="M209" i="1"/>
  <c r="O209" i="1" s="1"/>
  <c r="M228" i="1"/>
  <c r="O228" i="1" s="1"/>
  <c r="N286" i="1"/>
  <c r="O286" i="1" s="1"/>
  <c r="M340" i="1"/>
  <c r="O340" i="1" s="1"/>
  <c r="M348" i="1"/>
  <c r="O348" i="1" s="1"/>
  <c r="M7" i="1"/>
  <c r="O7" i="1" s="1"/>
  <c r="N326" i="1"/>
  <c r="O326" i="1" s="1"/>
  <c r="P326" i="1" s="1"/>
  <c r="M342" i="1"/>
  <c r="O342" i="1" s="1"/>
  <c r="M358" i="1"/>
  <c r="O358" i="1" s="1"/>
  <c r="M9" i="1"/>
  <c r="O9" i="1" s="1"/>
  <c r="N471" i="1"/>
  <c r="O471" i="1" s="1"/>
  <c r="P471" i="1" s="1"/>
  <c r="M10" i="1"/>
  <c r="O10" i="1" s="1"/>
  <c r="N120" i="1"/>
  <c r="O120" i="1" s="1"/>
  <c r="M146" i="1"/>
  <c r="O146" i="1" s="1"/>
  <c r="P146" i="1" s="1"/>
  <c r="N154" i="1"/>
  <c r="O154" i="1" s="1"/>
  <c r="P154" i="1" s="1"/>
  <c r="M169" i="1"/>
  <c r="O169" i="1" s="1"/>
  <c r="M174" i="1"/>
  <c r="O174" i="1" s="1"/>
  <c r="M182" i="1"/>
  <c r="O182" i="1" s="1"/>
  <c r="M281" i="1"/>
  <c r="O281" i="1" s="1"/>
  <c r="M319" i="1"/>
  <c r="O319" i="1" s="1"/>
  <c r="P319" i="1" s="1"/>
  <c r="M335" i="1"/>
  <c r="O335" i="1" s="1"/>
  <c r="M345" i="1"/>
  <c r="O345" i="1" s="1"/>
  <c r="M379" i="1"/>
  <c r="O379" i="1" s="1"/>
  <c r="M393" i="1"/>
  <c r="O393" i="1" s="1"/>
  <c r="P393" i="1" s="1"/>
  <c r="N452" i="1"/>
  <c r="O452" i="1" s="1"/>
  <c r="M477" i="1"/>
  <c r="O477" i="1" s="1"/>
  <c r="N492" i="1"/>
  <c r="O492" i="1" s="1"/>
  <c r="P492" i="1" s="1"/>
  <c r="M17" i="1"/>
  <c r="O17" i="1" s="1"/>
  <c r="M25" i="1"/>
  <c r="O25" i="1" s="1"/>
  <c r="M46" i="1"/>
  <c r="O46" i="1" s="1"/>
  <c r="M179" i="1"/>
  <c r="O179" i="1" s="1"/>
  <c r="M276" i="1"/>
  <c r="O276" i="1" s="1"/>
  <c r="N297" i="1"/>
  <c r="O297" i="1" s="1"/>
  <c r="P297" i="1" s="1"/>
  <c r="M311" i="1"/>
  <c r="O311" i="1" s="1"/>
  <c r="M350" i="1"/>
  <c r="O350" i="1" s="1"/>
  <c r="M485" i="1"/>
  <c r="O485" i="1" s="1"/>
  <c r="P485" i="1" s="1"/>
  <c r="P37" i="1"/>
  <c r="P18" i="1"/>
  <c r="P45" i="1"/>
  <c r="P14" i="1"/>
  <c r="Q168" i="1"/>
  <c r="P168" i="1"/>
  <c r="Q333" i="1"/>
  <c r="P333" i="1"/>
  <c r="P141" i="1" l="1"/>
  <c r="Q141" i="1"/>
  <c r="P140" i="1"/>
  <c r="Q140" i="1"/>
  <c r="P95" i="1"/>
  <c r="Q95" i="1"/>
  <c r="P50" i="1"/>
  <c r="Q50" i="1"/>
  <c r="P23" i="1"/>
  <c r="Q23" i="1"/>
  <c r="P19" i="1"/>
  <c r="Q19" i="1"/>
  <c r="P7" i="1"/>
  <c r="Q7" i="1"/>
  <c r="Q179" i="1"/>
  <c r="P179" i="1"/>
  <c r="Q199" i="1"/>
  <c r="P199" i="1"/>
  <c r="Q345" i="1"/>
  <c r="P345" i="1"/>
  <c r="Q75" i="1"/>
  <c r="P75" i="1"/>
  <c r="Q189" i="1"/>
  <c r="P189" i="1"/>
  <c r="Q335" i="1"/>
  <c r="P335" i="1"/>
  <c r="Q241" i="1"/>
  <c r="P241" i="1"/>
  <c r="Q17" i="1"/>
  <c r="P17" i="1"/>
  <c r="Q10" i="1"/>
  <c r="P10" i="1"/>
  <c r="Q340" i="1"/>
  <c r="P340" i="1"/>
  <c r="Q42" i="1"/>
  <c r="P42" i="1"/>
  <c r="Q21" i="1"/>
  <c r="P21" i="1"/>
  <c r="Q178" i="1"/>
  <c r="P178" i="1"/>
  <c r="Q325" i="1"/>
  <c r="P325" i="1"/>
  <c r="Q6" i="1"/>
  <c r="P6" i="1"/>
  <c r="Q32" i="1"/>
  <c r="P32" i="1"/>
  <c r="Q82" i="1"/>
  <c r="P82" i="1"/>
  <c r="Q323" i="1"/>
  <c r="P323" i="1"/>
  <c r="Q462" i="1"/>
  <c r="P462" i="1"/>
  <c r="Q219" i="1"/>
  <c r="P219" i="1"/>
  <c r="Q379" i="1"/>
  <c r="P379" i="1"/>
  <c r="Q355" i="1"/>
  <c r="P355" i="1"/>
  <c r="Q442" i="1"/>
  <c r="P442" i="1"/>
  <c r="Q120" i="1"/>
  <c r="P120" i="1"/>
  <c r="Q348" i="1"/>
  <c r="P348" i="1"/>
  <c r="Q109" i="1"/>
  <c r="P109" i="1"/>
  <c r="Q354" i="1"/>
  <c r="P354" i="1"/>
  <c r="Q110" i="1"/>
  <c r="P110" i="1"/>
  <c r="Q488" i="1"/>
  <c r="P488" i="1"/>
  <c r="Q502" i="1"/>
  <c r="P502" i="1"/>
  <c r="Q145" i="1"/>
  <c r="P145" i="1"/>
  <c r="Q192" i="1"/>
  <c r="P192" i="1"/>
  <c r="Q477" i="1"/>
  <c r="P477" i="1"/>
  <c r="Q9" i="1"/>
  <c r="P9" i="1"/>
  <c r="Q228" i="1"/>
  <c r="P228" i="1"/>
  <c r="Q188" i="1"/>
  <c r="P188" i="1"/>
  <c r="Q441" i="1"/>
  <c r="P441" i="1"/>
  <c r="Q275" i="1"/>
  <c r="P275" i="1"/>
  <c r="Q62" i="1"/>
  <c r="P62" i="1"/>
  <c r="Q184" i="1"/>
  <c r="P184" i="1"/>
  <c r="Q248" i="1"/>
  <c r="P248" i="1"/>
  <c r="Q436" i="1"/>
  <c r="P436" i="1"/>
  <c r="Q81" i="1"/>
  <c r="P81" i="1"/>
  <c r="Q350" i="1"/>
  <c r="P350" i="1"/>
  <c r="Q281" i="1"/>
  <c r="P281" i="1"/>
  <c r="Q286" i="1"/>
  <c r="P286" i="1"/>
  <c r="Q501" i="1"/>
  <c r="P501" i="1"/>
  <c r="Q491" i="1"/>
  <c r="P491" i="1"/>
  <c r="Q22" i="1"/>
  <c r="P22" i="1"/>
  <c r="Q385" i="1"/>
  <c r="P385" i="1"/>
  <c r="Q311" i="1"/>
  <c r="P311" i="1"/>
  <c r="Q182" i="1"/>
  <c r="P182" i="1"/>
  <c r="Q452" i="1"/>
  <c r="P452" i="1"/>
  <c r="Q174" i="1"/>
  <c r="P174" i="1"/>
  <c r="Q358" i="1"/>
  <c r="P358" i="1"/>
  <c r="Q209" i="1"/>
  <c r="P209" i="1"/>
  <c r="Q170" i="1"/>
  <c r="P170" i="1"/>
  <c r="Q343" i="1"/>
  <c r="P343" i="1"/>
  <c r="Q407" i="1"/>
  <c r="P407" i="1"/>
  <c r="Q447" i="1"/>
  <c r="P447" i="1"/>
  <c r="Q176" i="1"/>
  <c r="P176" i="1"/>
  <c r="Q80" i="1"/>
  <c r="P80" i="1"/>
  <c r="Q489" i="1"/>
  <c r="P489" i="1"/>
  <c r="Q415" i="1"/>
  <c r="P415" i="1"/>
  <c r="Q169" i="1"/>
  <c r="P169" i="1"/>
  <c r="Q342" i="1"/>
  <c r="P342" i="1"/>
  <c r="Q177" i="1"/>
  <c r="P177" i="1"/>
  <c r="Q375" i="1"/>
  <c r="P375" i="1"/>
  <c r="Q11" i="1"/>
  <c r="P11" i="1"/>
  <c r="Q213" i="1"/>
  <c r="P213" i="1"/>
  <c r="Q394" i="1"/>
  <c r="P394" i="1"/>
  <c r="Q365" i="1"/>
  <c r="P365" i="1"/>
  <c r="Q414" i="1"/>
  <c r="P414" i="1"/>
  <c r="Q83" i="1"/>
  <c r="P83" i="1"/>
  <c r="Q276" i="1"/>
  <c r="P276" i="1"/>
  <c r="Q8" i="1"/>
  <c r="P8" i="1"/>
  <c r="Q52" i="1"/>
  <c r="P52" i="1"/>
  <c r="Q461" i="1"/>
  <c r="P461" i="1"/>
  <c r="Q336" i="1"/>
  <c r="P336" i="1"/>
  <c r="Q159" i="1"/>
  <c r="P159" i="1"/>
  <c r="Q115" i="1"/>
  <c r="P115" i="1"/>
  <c r="Q104" i="1"/>
  <c r="P104" i="1"/>
  <c r="Q46" i="1"/>
  <c r="P46" i="1"/>
  <c r="Q15" i="1"/>
  <c r="P15" i="1"/>
  <c r="Q25" i="1"/>
  <c r="P25" i="1"/>
  <c r="Q344" i="1"/>
  <c r="P344" i="1"/>
  <c r="Q246" i="1"/>
  <c r="P246" i="1"/>
</calcChain>
</file>

<file path=xl/sharedStrings.xml><?xml version="1.0" encoding="utf-8"?>
<sst xmlns="http://schemas.openxmlformats.org/spreadsheetml/2006/main" count="1077" uniqueCount="76">
  <si>
    <t>(1)</t>
  </si>
  <si>
    <t>(2)</t>
  </si>
  <si>
    <t>(3)</t>
  </si>
  <si>
    <t>(4)</t>
  </si>
  <si>
    <t>(5)</t>
  </si>
  <si>
    <t>(6)</t>
  </si>
  <si>
    <t xml:space="preserve">Fecha </t>
  </si>
  <si>
    <t>Salida del sol</t>
  </si>
  <si>
    <t>Puesta del sol</t>
  </si>
  <si>
    <t xml:space="preserve">Motivo de activacion </t>
  </si>
  <si>
    <t>Fenomeno Meteorologico</t>
  </si>
  <si>
    <t>Tipo de trabajo</t>
  </si>
  <si>
    <t>Vehiculo</t>
  </si>
  <si>
    <t>Equipo</t>
  </si>
  <si>
    <t>Urea Kilos</t>
  </si>
  <si>
    <t>Glicol Litros</t>
  </si>
  <si>
    <t>Prioridad de de Trabajo 1</t>
  </si>
  <si>
    <t>Prioridad de de Trabajo 2</t>
  </si>
  <si>
    <t>Superficie 1</t>
  </si>
  <si>
    <t>Superficie 2</t>
  </si>
  <si>
    <t>Superficies Total</t>
  </si>
  <si>
    <t>Superficie tratada quimicamente</t>
  </si>
  <si>
    <t>Superficie Barrida</t>
  </si>
  <si>
    <t>Urea /sup</t>
  </si>
  <si>
    <t>Glicol/sup</t>
  </si>
  <si>
    <t>Temp.</t>
  </si>
  <si>
    <t>P. Rocio</t>
  </si>
  <si>
    <t>Humedad</t>
  </si>
  <si>
    <t>Presion</t>
  </si>
  <si>
    <t>Viento</t>
  </si>
  <si>
    <t>Preventivo</t>
  </si>
  <si>
    <t>Probabilidad de Nieve</t>
  </si>
  <si>
    <t>Esparcido</t>
  </si>
  <si>
    <t>Tractor Agco Allis</t>
  </si>
  <si>
    <t>Esparcidor Urea Cyra</t>
  </si>
  <si>
    <t>Pista, cabeceras, rodajes y plataforma</t>
  </si>
  <si>
    <t>Nieve</t>
  </si>
  <si>
    <t>Pista, cabeceras y rodajes</t>
  </si>
  <si>
    <t>Parking, sendas peatonales</t>
  </si>
  <si>
    <t>Prueba de frenado</t>
  </si>
  <si>
    <t>Movil 1 AB743ZN</t>
  </si>
  <si>
    <t>Descelerometro</t>
  </si>
  <si>
    <t>Pista</t>
  </si>
  <si>
    <t>Probabilidad de Hielo</t>
  </si>
  <si>
    <t>Otros rociado</t>
  </si>
  <si>
    <t xml:space="preserve">Mochila </t>
  </si>
  <si>
    <t>Mochila Giber 12 Lts</t>
  </si>
  <si>
    <t>Barrido</t>
  </si>
  <si>
    <t>Tractor MF7615 2018</t>
  </si>
  <si>
    <t>Barredora MB 3616 TRT 2018</t>
  </si>
  <si>
    <t>Plataforma</t>
  </si>
  <si>
    <t>Rocio helado</t>
  </si>
  <si>
    <t>Rociado</t>
  </si>
  <si>
    <t>Tractor MF7615 2019</t>
  </si>
  <si>
    <t>Rociador de Glicol Capurelli</t>
  </si>
  <si>
    <t>Correctivo</t>
  </si>
  <si>
    <t>Otros esparcido</t>
  </si>
  <si>
    <t>Manual</t>
  </si>
  <si>
    <t>Herramientas manuales</t>
  </si>
  <si>
    <t>Parking</t>
  </si>
  <si>
    <t>Escarcha Frost</t>
  </si>
  <si>
    <t>Otros</t>
  </si>
  <si>
    <t>Pista y cabeceras</t>
  </si>
  <si>
    <t>Cabeceras, plataforma</t>
  </si>
  <si>
    <t>18.7</t>
  </si>
  <si>
    <t>Tractor MF7719 2025</t>
  </si>
  <si>
    <t>Rodajes y plataforma</t>
  </si>
  <si>
    <t>Remoción</t>
  </si>
  <si>
    <t>Pala APX 16-T-50</t>
  </si>
  <si>
    <t>Barredora MB 3616 TRT 2019</t>
  </si>
  <si>
    <t>Rodajes</t>
  </si>
  <si>
    <t>Militar  / carguero</t>
  </si>
  <si>
    <t>Rociador Glicol Barbuy</t>
  </si>
  <si>
    <t>Cabeceras</t>
  </si>
  <si>
    <t>Lluvia</t>
  </si>
  <si>
    <t>Movil 2 OGH813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</si>
</sst>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6" formatCode="dd/mm/yy;@"/>
    <numFmt numFmtId="169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166" fontId="4" fillId="4" borderId="0" xfId="0" applyNumberFormat="1" applyFont="1" applyFill="1" applyAlignment="1">
      <alignment horizontal="center" vertical="center" wrapText="1"/>
    </xf>
    <xf numFmtId="20" fontId="4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66" fontId="0" fillId="5" borderId="1" xfId="0" applyNumberForma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9" fontId="2" fillId="2" borderId="1" xfId="1" applyNumberFormat="1" applyFont="1" applyFill="1" applyBorder="1" applyAlignment="1">
      <alignment horizontal="center" vertical="center"/>
    </xf>
    <xf numFmtId="166" fontId="0" fillId="5" borderId="2" xfId="0" applyNumberFormat="1" applyFill="1" applyBorder="1" applyAlignment="1">
      <alignment horizontal="center" vertical="center"/>
    </xf>
    <xf numFmtId="20" fontId="2" fillId="2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9" fontId="2" fillId="2" borderId="2" xfId="1" applyNumberFormat="1" applyFont="1" applyFill="1" applyBorder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9" fontId="2" fillId="2" borderId="3" xfId="1" applyNumberFormat="1" applyFont="1" applyFill="1" applyBorder="1" applyAlignment="1">
      <alignment horizontal="center" vertical="center"/>
    </xf>
    <xf numFmtId="169" fontId="3" fillId="0" borderId="0" xfId="1" applyNumberFormat="1" applyFont="1" applyAlignment="1">
      <alignment horizontal="left" vertical="center" indent="1"/>
    </xf>
    <xf numFmtId="169" fontId="4" fillId="4" borderId="0" xfId="1" applyNumberFormat="1" applyFont="1" applyFill="1" applyAlignment="1">
      <alignment horizontal="left" vertical="center" wrapText="1" indent="1"/>
    </xf>
    <xf numFmtId="169" fontId="0" fillId="0" borderId="0" xfId="1" applyNumberFormat="1" applyFont="1" applyAlignment="1">
      <alignment horizontal="left" vertical="center" indent="1"/>
    </xf>
    <xf numFmtId="1" fontId="2" fillId="5" borderId="1" xfId="1" applyNumberFormat="1" applyFont="1" applyFill="1" applyBorder="1" applyAlignment="1">
      <alignment horizontal="center" vertical="center"/>
    </xf>
    <xf numFmtId="1" fontId="2" fillId="5" borderId="2" xfId="1" applyNumberFormat="1" applyFont="1" applyFill="1" applyBorder="1" applyAlignment="1">
      <alignment horizontal="center" vertical="center"/>
    </xf>
    <xf numFmtId="1" fontId="2" fillId="5" borderId="3" xfId="1" applyNumberFormat="1" applyFont="1" applyFill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AB39-5B15-47CB-9BBA-C1765AF676F0}">
  <sheetPr filterMode="1"/>
  <dimension ref="A1:AA503"/>
  <sheetViews>
    <sheetView tabSelected="1" zoomScale="120" zoomScaleNormal="120" workbookViewId="0">
      <selection activeCell="E6" sqref="E6"/>
    </sheetView>
  </sheetViews>
  <sheetFormatPr baseColWidth="10" defaultColWidth="11.5" defaultRowHeight="15" x14ac:dyDescent="0.2"/>
  <cols>
    <col min="1" max="1" width="11.33203125" style="3" bestFit="1" customWidth="1"/>
    <col min="2" max="2" width="14.5" style="4" hidden="1" customWidth="1"/>
    <col min="3" max="3" width="15.33203125" style="4" hidden="1" customWidth="1"/>
    <col min="4" max="4" width="14.6640625" style="1" customWidth="1"/>
    <col min="5" max="5" width="23.5" style="9" customWidth="1"/>
    <col min="6" max="6" width="18.83203125" style="1" customWidth="1"/>
    <col min="7" max="7" width="23" style="1" customWidth="1"/>
    <col min="8" max="8" width="28.83203125" style="1" customWidth="1"/>
    <col min="9" max="9" width="9.1640625" style="34" bestFit="1" customWidth="1"/>
    <col min="10" max="10" width="10.33203125" style="34" bestFit="1" customWidth="1"/>
    <col min="11" max="11" width="35.5" style="1" customWidth="1"/>
    <col min="12" max="12" width="35.5" style="1" bestFit="1" customWidth="1"/>
    <col min="13" max="14" width="16.33203125" style="1" hidden="1" customWidth="1"/>
    <col min="15" max="15" width="15.83203125" style="1" hidden="1" customWidth="1"/>
    <col min="16" max="16" width="18.5" style="1" hidden="1" customWidth="1"/>
    <col min="17" max="17" width="14.83203125" style="1" hidden="1" customWidth="1"/>
    <col min="18" max="18" width="14.5" style="1" hidden="1" customWidth="1"/>
    <col min="19" max="19" width="15.33203125" style="1" hidden="1" customWidth="1"/>
    <col min="20" max="20" width="11.5" style="1"/>
    <col min="21" max="21" width="12.83203125" style="1" bestFit="1" customWidth="1"/>
    <col min="22" max="22" width="14.5" style="1" bestFit="1" customWidth="1"/>
    <col min="23" max="23" width="12.6640625" style="1" bestFit="1" customWidth="1"/>
    <col min="24" max="24" width="11.6640625" style="1" bestFit="1" customWidth="1"/>
    <col min="25" max="16384" width="11.5" style="1"/>
  </cols>
  <sheetData>
    <row r="1" spans="1:24" s="5" customFormat="1" x14ac:dyDescent="0.2">
      <c r="D1" s="5" t="s">
        <v>0</v>
      </c>
      <c r="E1" s="10" t="s">
        <v>1</v>
      </c>
      <c r="F1" s="5" t="s">
        <v>2</v>
      </c>
      <c r="G1" s="5" t="s">
        <v>3</v>
      </c>
      <c r="H1" s="5" t="s">
        <v>4</v>
      </c>
      <c r="I1" s="32"/>
      <c r="J1" s="32"/>
      <c r="K1" s="5" t="s">
        <v>5</v>
      </c>
      <c r="L1" s="5" t="s">
        <v>5</v>
      </c>
    </row>
    <row r="2" spans="1:24" s="2" customFormat="1" ht="45.75" customHeight="1" x14ac:dyDescent="0.2">
      <c r="A2" s="7" t="s">
        <v>6</v>
      </c>
      <c r="B2" s="8" t="s">
        <v>7</v>
      </c>
      <c r="C2" s="8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33" t="s">
        <v>14</v>
      </c>
      <c r="J2" s="33" t="s">
        <v>15</v>
      </c>
      <c r="K2" s="6" t="s">
        <v>16</v>
      </c>
      <c r="L2" s="6" t="s">
        <v>17</v>
      </c>
      <c r="M2" s="6" t="s">
        <v>18</v>
      </c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6" t="s">
        <v>27</v>
      </c>
      <c r="W2" s="6" t="s">
        <v>28</v>
      </c>
      <c r="X2" s="6" t="s">
        <v>29</v>
      </c>
    </row>
    <row r="3" spans="1:24" x14ac:dyDescent="0.2">
      <c r="A3" s="11">
        <v>45805</v>
      </c>
      <c r="B3" s="12" t="e">
        <f>IF(A3="","",VLOOKUP(Planilla!A3,#REF!,2,FALSE))</f>
        <v>#REF!</v>
      </c>
      <c r="C3" s="12" t="e">
        <f>IF(B3="","",VLOOKUP(Planilla!A3,#REF!,3,FALSE))</f>
        <v>#REF!</v>
      </c>
      <c r="D3" s="13" t="s">
        <v>30</v>
      </c>
      <c r="E3" s="14" t="s">
        <v>31</v>
      </c>
      <c r="F3" s="14" t="s">
        <v>32</v>
      </c>
      <c r="G3" s="14" t="s">
        <v>33</v>
      </c>
      <c r="H3" s="14" t="s">
        <v>34</v>
      </c>
      <c r="I3" s="35">
        <v>1875</v>
      </c>
      <c r="J3" s="35"/>
      <c r="K3" s="14" t="s">
        <v>35</v>
      </c>
      <c r="L3" s="14"/>
      <c r="M3" s="17" t="e">
        <f>IF(K3="",0,VLOOKUP(K3,#REF!,2,FALSE))</f>
        <v>#REF!</v>
      </c>
      <c r="N3" s="17">
        <f>IF(L3="",0,VLOOKUP(L3,#REF!,2,FALSE))</f>
        <v>0</v>
      </c>
      <c r="O3" s="17" t="e">
        <f>M3+N3</f>
        <v>#REF!</v>
      </c>
      <c r="P3" s="17" t="e">
        <f>IF(F3="Barrido","",O3)</f>
        <v>#REF!</v>
      </c>
      <c r="Q3" s="17" t="str">
        <f>IF(F3="Barrido",O3,"")</f>
        <v/>
      </c>
      <c r="R3" s="17">
        <f>IF(I3&lt;&gt;"0",I3,"")</f>
        <v>1875</v>
      </c>
      <c r="S3" s="15">
        <f>IF(J3&lt;&gt;"0",J3,"")</f>
        <v>0</v>
      </c>
      <c r="T3" s="16">
        <v>-1.6</v>
      </c>
      <c r="U3" s="16">
        <v>-2.4</v>
      </c>
      <c r="V3" s="16">
        <v>95</v>
      </c>
      <c r="W3" s="16">
        <v>1018</v>
      </c>
      <c r="X3" s="16">
        <v>0</v>
      </c>
    </row>
    <row r="4" spans="1:24" x14ac:dyDescent="0.2">
      <c r="A4" s="18">
        <v>45805</v>
      </c>
      <c r="B4" s="19" t="e">
        <f>IF(A4="","",VLOOKUP(Planilla!A4,#REF!,2,FALSE))</f>
        <v>#REF!</v>
      </c>
      <c r="C4" s="19" t="e">
        <f>IF(B4="","",VLOOKUP(Planilla!A4,#REF!,3,FALSE))</f>
        <v>#REF!</v>
      </c>
      <c r="D4" s="20" t="s">
        <v>30</v>
      </c>
      <c r="E4" s="21" t="s">
        <v>36</v>
      </c>
      <c r="F4" s="21" t="s">
        <v>32</v>
      </c>
      <c r="G4" s="21" t="s">
        <v>33</v>
      </c>
      <c r="H4" s="21" t="s">
        <v>34</v>
      </c>
      <c r="I4" s="36">
        <v>2250</v>
      </c>
      <c r="J4" s="36"/>
      <c r="K4" s="21" t="s">
        <v>37</v>
      </c>
      <c r="L4" s="21" t="s">
        <v>38</v>
      </c>
      <c r="M4" s="24" t="e">
        <f>IF(K4="",0,VLOOKUP(K4,#REF!,2,FALSE))</f>
        <v>#REF!</v>
      </c>
      <c r="N4" s="24" t="e">
        <f>IF(L4="",0,VLOOKUP(L4,#REF!,2,FALSE))</f>
        <v>#REF!</v>
      </c>
      <c r="O4" s="24" t="e">
        <f>M4+N4</f>
        <v>#REF!</v>
      </c>
      <c r="P4" s="24" t="e">
        <f>IF(F4="Barrido","",O4)</f>
        <v>#REF!</v>
      </c>
      <c r="Q4" s="24" t="str">
        <f>IF(F4="Barrido",O4,"")</f>
        <v/>
      </c>
      <c r="R4" s="24">
        <f>IF(I4&lt;&gt;"0",I4,"")</f>
        <v>2250</v>
      </c>
      <c r="S4" s="22">
        <f>IF(J4&lt;&gt;"0",J4,"")</f>
        <v>0</v>
      </c>
      <c r="T4" s="23">
        <v>-0.3</v>
      </c>
      <c r="U4" s="23">
        <v>-1.5</v>
      </c>
      <c r="V4" s="23">
        <v>92</v>
      </c>
      <c r="W4" s="23">
        <v>1016</v>
      </c>
      <c r="X4" s="23">
        <v>0</v>
      </c>
    </row>
    <row r="5" spans="1:24" x14ac:dyDescent="0.2">
      <c r="A5" s="18">
        <v>45805</v>
      </c>
      <c r="B5" s="19"/>
      <c r="C5" s="19"/>
      <c r="D5" s="20" t="s">
        <v>30</v>
      </c>
      <c r="E5" s="21" t="s">
        <v>36</v>
      </c>
      <c r="F5" s="21" t="s">
        <v>39</v>
      </c>
      <c r="G5" s="21" t="s">
        <v>40</v>
      </c>
      <c r="H5" s="21" t="s">
        <v>41</v>
      </c>
      <c r="I5" s="36"/>
      <c r="J5" s="36"/>
      <c r="K5" s="21" t="s">
        <v>42</v>
      </c>
      <c r="L5" s="21"/>
      <c r="M5" s="24"/>
      <c r="N5" s="24"/>
      <c r="O5" s="24"/>
      <c r="P5" s="24"/>
      <c r="Q5" s="24"/>
      <c r="R5" s="24"/>
      <c r="S5" s="22"/>
      <c r="T5" s="23">
        <v>0</v>
      </c>
      <c r="U5" s="23">
        <v>-1.2</v>
      </c>
      <c r="V5" s="23">
        <v>92</v>
      </c>
      <c r="W5" s="23">
        <v>1016</v>
      </c>
      <c r="X5" s="23">
        <v>0.3</v>
      </c>
    </row>
    <row r="6" spans="1:24" x14ac:dyDescent="0.2">
      <c r="A6" s="18">
        <v>45805</v>
      </c>
      <c r="B6" s="19" t="e">
        <f>IF(A6="","",VLOOKUP(Planilla!A6,#REF!,2,FALSE))</f>
        <v>#REF!</v>
      </c>
      <c r="C6" s="19" t="e">
        <f>IF(B6="","",VLOOKUP(Planilla!A6,#REF!,3,FALSE))</f>
        <v>#REF!</v>
      </c>
      <c r="D6" s="20" t="s">
        <v>30</v>
      </c>
      <c r="E6" s="21" t="s">
        <v>43</v>
      </c>
      <c r="F6" s="21" t="s">
        <v>44</v>
      </c>
      <c r="G6" s="21" t="s">
        <v>45</v>
      </c>
      <c r="H6" s="21" t="s">
        <v>46</v>
      </c>
      <c r="I6" s="36"/>
      <c r="J6" s="36">
        <v>20</v>
      </c>
      <c r="K6" s="21"/>
      <c r="L6" s="21" t="s">
        <v>38</v>
      </c>
      <c r="M6" s="24">
        <f>IF(K6="",0,VLOOKUP(K6,#REF!,2,FALSE))</f>
        <v>0</v>
      </c>
      <c r="N6" s="24" t="e">
        <f>IF(L6="",0,VLOOKUP(L6,#REF!,2,FALSE))</f>
        <v>#REF!</v>
      </c>
      <c r="O6" s="24" t="e">
        <f t="shared" ref="O6:O11" si="0">M6+N6</f>
        <v>#REF!</v>
      </c>
      <c r="P6" s="24" t="e">
        <f>IF(F6="Barrido","",O6)</f>
        <v>#REF!</v>
      </c>
      <c r="Q6" s="24" t="str">
        <f>IF(F6="Barrido",O6,"")</f>
        <v/>
      </c>
      <c r="R6" s="24">
        <f>IF(I6&lt;&gt;"0",I6,"")</f>
        <v>0</v>
      </c>
      <c r="S6" s="22">
        <f>IF(J6&lt;&gt;"0",J6,"")</f>
        <v>20</v>
      </c>
      <c r="T6" s="23">
        <v>-1.7</v>
      </c>
      <c r="U6" s="23">
        <v>-2.2000000000000002</v>
      </c>
      <c r="V6" s="23">
        <v>95</v>
      </c>
      <c r="W6" s="23">
        <v>1017</v>
      </c>
      <c r="X6" s="23">
        <v>0</v>
      </c>
    </row>
    <row r="7" spans="1:24" x14ac:dyDescent="0.2">
      <c r="A7" s="18">
        <v>45805</v>
      </c>
      <c r="B7" s="19" t="e">
        <f>IF(A7="","",VLOOKUP(Planilla!A7,#REF!,2,FALSE))</f>
        <v>#REF!</v>
      </c>
      <c r="C7" s="19" t="e">
        <f>IF(B7="","",VLOOKUP(Planilla!A7,#REF!,3,FALSE))</f>
        <v>#REF!</v>
      </c>
      <c r="D7" s="20" t="s">
        <v>30</v>
      </c>
      <c r="E7" s="21" t="s">
        <v>36</v>
      </c>
      <c r="F7" s="21" t="s">
        <v>47</v>
      </c>
      <c r="G7" s="21" t="s">
        <v>48</v>
      </c>
      <c r="H7" s="21" t="s">
        <v>49</v>
      </c>
      <c r="I7" s="36"/>
      <c r="J7" s="36"/>
      <c r="K7" s="21" t="s">
        <v>37</v>
      </c>
      <c r="L7" s="21"/>
      <c r="M7" s="24" t="e">
        <f>IF(K7="",0,VLOOKUP(K7,#REF!,2,FALSE))</f>
        <v>#REF!</v>
      </c>
      <c r="N7" s="24">
        <f>IF(L7="",0,VLOOKUP(L7,#REF!,2,FALSE))</f>
        <v>0</v>
      </c>
      <c r="O7" s="24" t="e">
        <f t="shared" si="0"/>
        <v>#REF!</v>
      </c>
      <c r="P7" s="24" t="str">
        <f>IF(F7="Barrido","",O7)</f>
        <v/>
      </c>
      <c r="Q7" s="24" t="e">
        <f>IF(F7="Barrido",O7,"")</f>
        <v>#REF!</v>
      </c>
      <c r="R7" s="24">
        <f>IF(I7&lt;&gt;"0",I7,"")</f>
        <v>0</v>
      </c>
      <c r="S7" s="22">
        <f>IF(J7&lt;&gt;"0",J7,"")</f>
        <v>0</v>
      </c>
      <c r="T7" s="23">
        <v>-0.2</v>
      </c>
      <c r="U7" s="23">
        <v>-1.4</v>
      </c>
      <c r="V7" s="23">
        <v>92</v>
      </c>
      <c r="W7" s="23">
        <v>1016</v>
      </c>
      <c r="X7" s="23">
        <v>1.4</v>
      </c>
    </row>
    <row r="8" spans="1:24" x14ac:dyDescent="0.2">
      <c r="A8" s="18">
        <v>45805</v>
      </c>
      <c r="B8" s="19" t="e">
        <f>IF(A8="","",VLOOKUP(Planilla!A8,#REF!,2,FALSE))</f>
        <v>#REF!</v>
      </c>
      <c r="C8" s="19" t="e">
        <f>IF(B8="","",VLOOKUP(Planilla!A8,#REF!,3,FALSE))</f>
        <v>#REF!</v>
      </c>
      <c r="D8" s="20" t="s">
        <v>30</v>
      </c>
      <c r="E8" s="21" t="s">
        <v>36</v>
      </c>
      <c r="F8" s="21" t="s">
        <v>47</v>
      </c>
      <c r="G8" s="21" t="s">
        <v>48</v>
      </c>
      <c r="H8" s="21" t="s">
        <v>49</v>
      </c>
      <c r="I8" s="36"/>
      <c r="J8" s="36"/>
      <c r="K8" s="21" t="s">
        <v>50</v>
      </c>
      <c r="L8" s="21"/>
      <c r="M8" s="24" t="e">
        <f>IF(K8="",0,VLOOKUP(K8,#REF!,2,FALSE))</f>
        <v>#REF!</v>
      </c>
      <c r="N8" s="24">
        <f>IF(L8="",0,VLOOKUP(L8,#REF!,2,FALSE))</f>
        <v>0</v>
      </c>
      <c r="O8" s="24" t="e">
        <f t="shared" si="0"/>
        <v>#REF!</v>
      </c>
      <c r="P8" s="24" t="str">
        <f>IF(F8="Barrido","",O8)</f>
        <v/>
      </c>
      <c r="Q8" s="24" t="e">
        <f>IF(F8="Barrido",O8,"")</f>
        <v>#REF!</v>
      </c>
      <c r="R8" s="24">
        <f>IF(I8&lt;&gt;"0",I8,"")</f>
        <v>0</v>
      </c>
      <c r="S8" s="22">
        <f>IF(J8&lt;&gt;"0",J8,"")</f>
        <v>0</v>
      </c>
      <c r="T8" s="23">
        <v>1</v>
      </c>
      <c r="U8" s="23">
        <v>0.8</v>
      </c>
      <c r="V8" s="23">
        <v>99</v>
      </c>
      <c r="W8" s="23">
        <v>1011</v>
      </c>
      <c r="X8" s="23">
        <v>1.2</v>
      </c>
    </row>
    <row r="9" spans="1:24" x14ac:dyDescent="0.2">
      <c r="A9" s="18">
        <v>45805</v>
      </c>
      <c r="B9" s="19" t="e">
        <f>IF(A9="","",VLOOKUP(Planilla!A9,#REF!,2,FALSE))</f>
        <v>#REF!</v>
      </c>
      <c r="C9" s="19" t="e">
        <f>IF(B9="","",VLOOKUP(Planilla!A9,#REF!,3,FALSE))</f>
        <v>#REF!</v>
      </c>
      <c r="D9" s="20" t="s">
        <v>30</v>
      </c>
      <c r="E9" s="21" t="s">
        <v>51</v>
      </c>
      <c r="F9" s="21" t="s">
        <v>32</v>
      </c>
      <c r="G9" s="21" t="s">
        <v>33</v>
      </c>
      <c r="H9" s="21" t="s">
        <v>34</v>
      </c>
      <c r="I9" s="36">
        <v>400</v>
      </c>
      <c r="J9" s="36"/>
      <c r="K9" s="21" t="s">
        <v>50</v>
      </c>
      <c r="L9" s="21"/>
      <c r="M9" s="24" t="e">
        <f>IF(K9="",0,VLOOKUP(K9,#REF!,2,FALSE))</f>
        <v>#REF!</v>
      </c>
      <c r="N9" s="24">
        <f>IF(L9="",0,VLOOKUP(L9,#REF!,2,FALSE))</f>
        <v>0</v>
      </c>
      <c r="O9" s="24" t="e">
        <f t="shared" si="0"/>
        <v>#REF!</v>
      </c>
      <c r="P9" s="24" t="e">
        <f>IF(F9="Barrido","",O9)</f>
        <v>#REF!</v>
      </c>
      <c r="Q9" s="24" t="str">
        <f>IF(F9="Barrido",O9,"")</f>
        <v/>
      </c>
      <c r="R9" s="24">
        <f>IF(I9&lt;&gt;"0",I9,"")</f>
        <v>400</v>
      </c>
      <c r="S9" s="22">
        <f>IF(J9&lt;&gt;"0",J9,"")</f>
        <v>0</v>
      </c>
      <c r="T9" s="23">
        <v>1</v>
      </c>
      <c r="U9" s="23">
        <v>0.8</v>
      </c>
      <c r="V9" s="23">
        <v>99</v>
      </c>
      <c r="W9" s="23">
        <v>1011</v>
      </c>
      <c r="X9" s="23">
        <v>1.2</v>
      </c>
    </row>
    <row r="10" spans="1:24" x14ac:dyDescent="0.2">
      <c r="A10" s="18">
        <v>45805</v>
      </c>
      <c r="B10" s="19" t="e">
        <f>IF(A10="","",VLOOKUP(Planilla!A10,#REF!,2,FALSE))</f>
        <v>#REF!</v>
      </c>
      <c r="C10" s="19" t="e">
        <f>IF(B10="","",VLOOKUP(Planilla!A10,#REF!,3,FALSE))</f>
        <v>#REF!</v>
      </c>
      <c r="D10" s="20" t="s">
        <v>30</v>
      </c>
      <c r="E10" s="21" t="s">
        <v>43</v>
      </c>
      <c r="F10" s="21" t="s">
        <v>52</v>
      </c>
      <c r="G10" s="21" t="s">
        <v>53</v>
      </c>
      <c r="H10" s="21" t="s">
        <v>54</v>
      </c>
      <c r="I10" s="36"/>
      <c r="J10" s="36">
        <v>700</v>
      </c>
      <c r="K10" s="21" t="s">
        <v>37</v>
      </c>
      <c r="L10" s="21"/>
      <c r="M10" s="24" t="e">
        <f>IF(K10="",0,VLOOKUP(K10,#REF!,2,FALSE))</f>
        <v>#REF!</v>
      </c>
      <c r="N10" s="24">
        <f>IF(L10="",0,VLOOKUP(L10,#REF!,2,FALSE))</f>
        <v>0</v>
      </c>
      <c r="O10" s="24" t="e">
        <f t="shared" si="0"/>
        <v>#REF!</v>
      </c>
      <c r="P10" s="24" t="e">
        <f>IF(F10="Barrido","",O10)</f>
        <v>#REF!</v>
      </c>
      <c r="Q10" s="24" t="str">
        <f>IF(F10="Barrido",O10,"")</f>
        <v/>
      </c>
      <c r="R10" s="24">
        <f>IF(I10&lt;&gt;"0",I10,"")</f>
        <v>0</v>
      </c>
      <c r="S10" s="22">
        <f>IF(J10&lt;&gt;"0",J10,"")</f>
        <v>700</v>
      </c>
      <c r="T10" s="23">
        <v>1.3</v>
      </c>
      <c r="U10" s="23">
        <v>1.2</v>
      </c>
      <c r="V10" s="23">
        <v>99</v>
      </c>
      <c r="W10" s="23">
        <v>1010</v>
      </c>
      <c r="X10" s="23">
        <v>2.4</v>
      </c>
    </row>
    <row r="11" spans="1:24" x14ac:dyDescent="0.2">
      <c r="A11" s="18">
        <v>45805</v>
      </c>
      <c r="B11" s="19" t="e">
        <f>IF(A11="","",VLOOKUP(Planilla!A11,#REF!,2,FALSE))</f>
        <v>#REF!</v>
      </c>
      <c r="C11" s="19" t="e">
        <f>IF(B11="","",VLOOKUP(Planilla!A11,#REF!,3,FALSE))</f>
        <v>#REF!</v>
      </c>
      <c r="D11" s="20" t="s">
        <v>30</v>
      </c>
      <c r="E11" s="21" t="s">
        <v>51</v>
      </c>
      <c r="F11" s="21" t="s">
        <v>32</v>
      </c>
      <c r="G11" s="21" t="s">
        <v>33</v>
      </c>
      <c r="H11" s="21" t="s">
        <v>34</v>
      </c>
      <c r="I11" s="36">
        <v>100</v>
      </c>
      <c r="J11" s="36"/>
      <c r="K11" s="21" t="s">
        <v>38</v>
      </c>
      <c r="L11" s="21"/>
      <c r="M11" s="24" t="e">
        <f>IF(K11="",0,VLOOKUP(K11,#REF!,2,FALSE))</f>
        <v>#REF!</v>
      </c>
      <c r="N11" s="24">
        <f>IF(L11="",0,VLOOKUP(L11,#REF!,2,FALSE))</f>
        <v>0</v>
      </c>
      <c r="O11" s="24" t="e">
        <f t="shared" si="0"/>
        <v>#REF!</v>
      </c>
      <c r="P11" s="24" t="e">
        <f>IF(F11="Barrido","",O11)</f>
        <v>#REF!</v>
      </c>
      <c r="Q11" s="24" t="str">
        <f>IF(F11="Barrido",O11,"")</f>
        <v/>
      </c>
      <c r="R11" s="24">
        <f>IF(I11&lt;&gt;"0",I11,"")</f>
        <v>100</v>
      </c>
      <c r="S11" s="22">
        <f>IF(J11&lt;&gt;"0",J11,"")</f>
        <v>0</v>
      </c>
      <c r="T11" s="23">
        <v>1.6</v>
      </c>
      <c r="U11" s="23">
        <v>1.4</v>
      </c>
      <c r="V11" s="23">
        <v>99</v>
      </c>
      <c r="W11" s="23">
        <v>1010</v>
      </c>
      <c r="X11" s="23">
        <v>4.9000000000000004</v>
      </c>
    </row>
    <row r="12" spans="1:24" x14ac:dyDescent="0.2">
      <c r="A12" s="18">
        <v>45805</v>
      </c>
      <c r="B12" s="19"/>
      <c r="C12" s="19"/>
      <c r="D12" s="20" t="s">
        <v>30</v>
      </c>
      <c r="E12" s="21" t="s">
        <v>43</v>
      </c>
      <c r="F12" s="21" t="s">
        <v>39</v>
      </c>
      <c r="G12" s="21" t="s">
        <v>40</v>
      </c>
      <c r="H12" s="21" t="s">
        <v>41</v>
      </c>
      <c r="I12" s="36"/>
      <c r="J12" s="36"/>
      <c r="K12" s="21" t="s">
        <v>42</v>
      </c>
      <c r="L12" s="21"/>
      <c r="M12" s="24"/>
      <c r="N12" s="24"/>
      <c r="O12" s="24"/>
      <c r="P12" s="24"/>
      <c r="Q12" s="24"/>
      <c r="R12" s="24"/>
      <c r="S12" s="22"/>
      <c r="T12" s="23">
        <v>-2.2000000000000002</v>
      </c>
      <c r="U12" s="23">
        <v>-2.2999999999999998</v>
      </c>
      <c r="V12" s="23">
        <v>99</v>
      </c>
      <c r="W12" s="23">
        <v>1008</v>
      </c>
      <c r="X12" s="23">
        <v>0</v>
      </c>
    </row>
    <row r="13" spans="1:24" x14ac:dyDescent="0.2">
      <c r="A13" s="18">
        <v>45806</v>
      </c>
      <c r="B13" s="19" t="e">
        <f>IF(A13="","",VLOOKUP(Planilla!A13,#REF!,2,FALSE))</f>
        <v>#REF!</v>
      </c>
      <c r="C13" s="19" t="e">
        <f>IF(B13="","",VLOOKUP(Planilla!A13,#REF!,3,FALSE))</f>
        <v>#REF!</v>
      </c>
      <c r="D13" s="20" t="s">
        <v>55</v>
      </c>
      <c r="E13" s="21" t="s">
        <v>43</v>
      </c>
      <c r="F13" s="21" t="s">
        <v>52</v>
      </c>
      <c r="G13" s="21" t="s">
        <v>53</v>
      </c>
      <c r="H13" s="21" t="s">
        <v>54</v>
      </c>
      <c r="I13" s="36"/>
      <c r="J13" s="36">
        <v>500</v>
      </c>
      <c r="K13" s="21"/>
      <c r="L13" s="21" t="s">
        <v>38</v>
      </c>
      <c r="M13" s="24">
        <f>IF(K13="",0,VLOOKUP(K13,#REF!,2,FALSE))</f>
        <v>0</v>
      </c>
      <c r="N13" s="24" t="e">
        <f>IF(L13="",0,VLOOKUP(L13,#REF!,2,FALSE))</f>
        <v>#REF!</v>
      </c>
      <c r="O13" s="24" t="e">
        <f t="shared" ref="O13:O35" si="1">M13+N13</f>
        <v>#REF!</v>
      </c>
      <c r="P13" s="24" t="e">
        <f>IF(F13="Barrido","",O13)</f>
        <v>#REF!</v>
      </c>
      <c r="Q13" s="24" t="str">
        <f>IF(F13="Barrido",O13,"")</f>
        <v/>
      </c>
      <c r="R13" s="24">
        <f>IF(I13&lt;&gt;"0",I13,"")</f>
        <v>0</v>
      </c>
      <c r="S13" s="22">
        <f>IF(J13&lt;&gt;"0",J13,"")</f>
        <v>500</v>
      </c>
      <c r="T13" s="23">
        <v>0.9</v>
      </c>
      <c r="U13" s="23">
        <v>0.7</v>
      </c>
      <c r="V13" s="23">
        <v>99</v>
      </c>
      <c r="W13" s="23">
        <v>1008</v>
      </c>
      <c r="X13" s="23">
        <v>15.9</v>
      </c>
    </row>
    <row r="14" spans="1:24" x14ac:dyDescent="0.2">
      <c r="A14" s="18">
        <v>45806</v>
      </c>
      <c r="B14" s="19" t="e">
        <f>IF(A14="","",VLOOKUP(Planilla!A14,#REF!,2,FALSE))</f>
        <v>#REF!</v>
      </c>
      <c r="C14" s="19" t="e">
        <f>IF(B14="","",VLOOKUP(Planilla!A14,#REF!,3,FALSE))</f>
        <v>#REF!</v>
      </c>
      <c r="D14" s="20" t="s">
        <v>30</v>
      </c>
      <c r="E14" s="21" t="s">
        <v>43</v>
      </c>
      <c r="F14" s="21" t="s">
        <v>52</v>
      </c>
      <c r="G14" s="21" t="s">
        <v>53</v>
      </c>
      <c r="H14" s="21" t="s">
        <v>54</v>
      </c>
      <c r="I14" s="36"/>
      <c r="J14" s="36">
        <v>1300</v>
      </c>
      <c r="K14" s="21" t="s">
        <v>37</v>
      </c>
      <c r="L14" s="21"/>
      <c r="M14" s="24" t="e">
        <f>IF(K14="",0,VLOOKUP(K14,#REF!,2,FALSE))</f>
        <v>#REF!</v>
      </c>
      <c r="N14" s="24">
        <f>IF(L14="",0,VLOOKUP(L14,#REF!,2,FALSE))</f>
        <v>0</v>
      </c>
      <c r="O14" s="24" t="e">
        <f t="shared" si="1"/>
        <v>#REF!</v>
      </c>
      <c r="P14" s="24" t="e">
        <f>IF(F14="Barrido","",O14)</f>
        <v>#REF!</v>
      </c>
      <c r="Q14" s="24" t="str">
        <f>IF(F14="Barrido",O14,"")</f>
        <v/>
      </c>
      <c r="R14" s="24">
        <f>IF(I14&lt;&gt;"0",I14,"")</f>
        <v>0</v>
      </c>
      <c r="S14" s="22">
        <f>IF(J14&lt;&gt;"0",J14,"")</f>
        <v>1300</v>
      </c>
      <c r="T14" s="23">
        <v>1.5</v>
      </c>
      <c r="U14" s="23">
        <v>1.2</v>
      </c>
      <c r="V14" s="23">
        <v>98</v>
      </c>
      <c r="W14" s="23">
        <v>1009</v>
      </c>
      <c r="X14" s="23">
        <v>18.899999999999999</v>
      </c>
    </row>
    <row r="15" spans="1:24" x14ac:dyDescent="0.2">
      <c r="A15" s="18">
        <v>45806</v>
      </c>
      <c r="B15" s="19" t="e">
        <f>IF(A15="","",VLOOKUP(Planilla!A15,#REF!,2,FALSE))</f>
        <v>#REF!</v>
      </c>
      <c r="C15" s="19" t="e">
        <f>IF(B15="","",VLOOKUP(Planilla!A15,#REF!,3,FALSE))</f>
        <v>#REF!</v>
      </c>
      <c r="D15" s="20" t="s">
        <v>30</v>
      </c>
      <c r="E15" s="21" t="s">
        <v>43</v>
      </c>
      <c r="F15" s="21" t="s">
        <v>39</v>
      </c>
      <c r="G15" s="21" t="s">
        <v>40</v>
      </c>
      <c r="H15" s="21" t="s">
        <v>41</v>
      </c>
      <c r="I15" s="36"/>
      <c r="J15" s="36"/>
      <c r="K15" s="21" t="s">
        <v>42</v>
      </c>
      <c r="L15" s="21"/>
      <c r="M15" s="24" t="e">
        <f>IF(K15="",0,VLOOKUP(K15,#REF!,2,FALSE))</f>
        <v>#REF!</v>
      </c>
      <c r="N15" s="24">
        <f>IF(L15="",0,VLOOKUP(L15,#REF!,2,FALSE))</f>
        <v>0</v>
      </c>
      <c r="O15" s="24" t="e">
        <f t="shared" si="1"/>
        <v>#REF!</v>
      </c>
      <c r="P15" s="24" t="e">
        <f>IF(F15="Barrido","",O15)</f>
        <v>#REF!</v>
      </c>
      <c r="Q15" s="24" t="str">
        <f>IF(F15="Barrido",O15,"")</f>
        <v/>
      </c>
      <c r="R15" s="24">
        <f>IF(I15&lt;&gt;"0",I15,"")</f>
        <v>0</v>
      </c>
      <c r="S15" s="22">
        <f>IF(J15&lt;&gt;"0",J15,"")</f>
        <v>0</v>
      </c>
      <c r="T15" s="23">
        <v>2.2000000000000002</v>
      </c>
      <c r="U15" s="23">
        <v>1.8</v>
      </c>
      <c r="V15" s="23">
        <v>98</v>
      </c>
      <c r="W15" s="23">
        <v>1009</v>
      </c>
      <c r="X15" s="23">
        <v>4.5999999999999996</v>
      </c>
    </row>
    <row r="16" spans="1:24" x14ac:dyDescent="0.2">
      <c r="A16" s="18">
        <v>45807</v>
      </c>
      <c r="B16" s="19" t="e">
        <f>IF(A16="","",VLOOKUP(Planilla!A16,#REF!,2,FALSE))</f>
        <v>#REF!</v>
      </c>
      <c r="C16" s="19" t="e">
        <f>IF(B16="","",VLOOKUP(Planilla!A16,#REF!,3,FALSE))</f>
        <v>#REF!</v>
      </c>
      <c r="D16" s="20" t="s">
        <v>30</v>
      </c>
      <c r="E16" s="21" t="s">
        <v>43</v>
      </c>
      <c r="F16" s="21" t="s">
        <v>39</v>
      </c>
      <c r="G16" s="21" t="s">
        <v>40</v>
      </c>
      <c r="H16" s="21" t="s">
        <v>41</v>
      </c>
      <c r="I16" s="36"/>
      <c r="J16" s="36"/>
      <c r="K16" s="21" t="s">
        <v>42</v>
      </c>
      <c r="L16" s="21"/>
      <c r="M16" s="24" t="e">
        <f>IF(K16="",0,VLOOKUP(K16,#REF!,2,FALSE))</f>
        <v>#REF!</v>
      </c>
      <c r="N16" s="24">
        <f>IF(L16="",0,VLOOKUP(L16,#REF!,2,FALSE))</f>
        <v>0</v>
      </c>
      <c r="O16" s="24" t="e">
        <f t="shared" si="1"/>
        <v>#REF!</v>
      </c>
      <c r="P16" s="24" t="e">
        <f>IF(F16="Barrido","",O16)</f>
        <v>#REF!</v>
      </c>
      <c r="Q16" s="24" t="str">
        <f>IF(F16="Barrido",O16,"")</f>
        <v/>
      </c>
      <c r="R16" s="24">
        <f>IF(I16&lt;&gt;"0",I16,"")</f>
        <v>0</v>
      </c>
      <c r="S16" s="22">
        <f>IF(J16&lt;&gt;"0",J16,"")</f>
        <v>0</v>
      </c>
      <c r="T16" s="23">
        <v>5.9</v>
      </c>
      <c r="U16" s="23">
        <v>5.6</v>
      </c>
      <c r="V16" s="23">
        <v>98</v>
      </c>
      <c r="W16" s="23">
        <v>1002</v>
      </c>
      <c r="X16" s="23">
        <v>6.9</v>
      </c>
    </row>
    <row r="17" spans="1:24" x14ac:dyDescent="0.2">
      <c r="A17" s="18">
        <v>45808</v>
      </c>
      <c r="B17" s="19" t="e">
        <f>IF(A17="","",VLOOKUP(Planilla!A17,#REF!,2,FALSE))</f>
        <v>#REF!</v>
      </c>
      <c r="C17" s="19" t="e">
        <f>IF(B17="","",VLOOKUP(Planilla!A17,#REF!,3,FALSE))</f>
        <v>#REF!</v>
      </c>
      <c r="D17" s="20" t="s">
        <v>30</v>
      </c>
      <c r="E17" s="21" t="s">
        <v>43</v>
      </c>
      <c r="F17" s="21" t="s">
        <v>47</v>
      </c>
      <c r="G17" s="21" t="s">
        <v>48</v>
      </c>
      <c r="H17" s="21" t="s">
        <v>49</v>
      </c>
      <c r="I17" s="36"/>
      <c r="J17" s="36"/>
      <c r="K17" s="21" t="s">
        <v>50</v>
      </c>
      <c r="L17" s="21"/>
      <c r="M17" s="24" t="e">
        <f>IF(K17="",0,VLOOKUP(K17,#REF!,2,FALSE))</f>
        <v>#REF!</v>
      </c>
      <c r="N17" s="24">
        <f>IF(L17="",0,VLOOKUP(L17,#REF!,2,FALSE))</f>
        <v>0</v>
      </c>
      <c r="O17" s="24" t="e">
        <f t="shared" si="1"/>
        <v>#REF!</v>
      </c>
      <c r="P17" s="24" t="str">
        <f>IF(F17="Barrido","",O17)</f>
        <v/>
      </c>
      <c r="Q17" s="24" t="e">
        <f>IF(F17="Barrido",O17,"")</f>
        <v>#REF!</v>
      </c>
      <c r="R17" s="24">
        <f>IF(I17&lt;&gt;"0",I17,"")</f>
        <v>0</v>
      </c>
      <c r="S17" s="22">
        <f>IF(J17&lt;&gt;"0",J17,"")</f>
        <v>0</v>
      </c>
      <c r="T17" s="23">
        <v>2.6</v>
      </c>
      <c r="U17" s="23">
        <v>2.4</v>
      </c>
      <c r="V17" s="23">
        <v>99</v>
      </c>
      <c r="W17" s="23">
        <v>1011</v>
      </c>
      <c r="X17" s="23">
        <v>8.4</v>
      </c>
    </row>
    <row r="18" spans="1:24" x14ac:dyDescent="0.2">
      <c r="A18" s="18">
        <v>45808</v>
      </c>
      <c r="B18" s="19" t="e">
        <f>IF(A18="","",VLOOKUP(Planilla!A18,#REF!,2,FALSE))</f>
        <v>#REF!</v>
      </c>
      <c r="C18" s="19" t="e">
        <f>IF(B18="","",VLOOKUP(Planilla!A18,#REF!,3,FALSE))</f>
        <v>#REF!</v>
      </c>
      <c r="D18" s="20" t="s">
        <v>30</v>
      </c>
      <c r="E18" s="21" t="s">
        <v>43</v>
      </c>
      <c r="F18" s="21" t="s">
        <v>32</v>
      </c>
      <c r="G18" s="21" t="s">
        <v>33</v>
      </c>
      <c r="H18" s="21" t="s">
        <v>34</v>
      </c>
      <c r="I18" s="36">
        <v>250</v>
      </c>
      <c r="J18" s="36"/>
      <c r="K18" s="21" t="s">
        <v>50</v>
      </c>
      <c r="L18" s="21"/>
      <c r="M18" s="24" t="e">
        <f>IF(K18="",0,VLOOKUP(K18,#REF!,2,FALSE))</f>
        <v>#REF!</v>
      </c>
      <c r="N18" s="24">
        <f>IF(L18="",0,VLOOKUP(L18,#REF!,2,FALSE))</f>
        <v>0</v>
      </c>
      <c r="O18" s="24" t="e">
        <f t="shared" si="1"/>
        <v>#REF!</v>
      </c>
      <c r="P18" s="24" t="e">
        <f>IF(F18="Barrido","",O18)</f>
        <v>#REF!</v>
      </c>
      <c r="Q18" s="24" t="str">
        <f>IF(F18="Barrido",O18,"")</f>
        <v/>
      </c>
      <c r="R18" s="24">
        <f>IF(I18&lt;&gt;"0",I18,"")</f>
        <v>250</v>
      </c>
      <c r="S18" s="22">
        <f>IF(J18&lt;&gt;"0",J18,"")</f>
        <v>0</v>
      </c>
      <c r="T18" s="23">
        <v>2.2999999999999998</v>
      </c>
      <c r="U18" s="23">
        <v>1.9</v>
      </c>
      <c r="V18" s="23">
        <v>97</v>
      </c>
      <c r="W18" s="23">
        <v>1011</v>
      </c>
      <c r="X18" s="23">
        <v>10.3</v>
      </c>
    </row>
    <row r="19" spans="1:24" x14ac:dyDescent="0.2">
      <c r="A19" s="18">
        <v>45809</v>
      </c>
      <c r="B19" s="19" t="e">
        <f>IF(A19="","",VLOOKUP(Planilla!A19,#REF!,2,FALSE))</f>
        <v>#REF!</v>
      </c>
      <c r="C19" s="19" t="e">
        <f>IF(B19="","",VLOOKUP(Planilla!A19,#REF!,3,FALSE))</f>
        <v>#REF!</v>
      </c>
      <c r="D19" s="20" t="s">
        <v>30</v>
      </c>
      <c r="E19" s="21" t="s">
        <v>43</v>
      </c>
      <c r="F19" s="21" t="s">
        <v>47</v>
      </c>
      <c r="G19" s="21" t="s">
        <v>48</v>
      </c>
      <c r="H19" s="21" t="s">
        <v>49</v>
      </c>
      <c r="I19" s="36"/>
      <c r="J19" s="36"/>
      <c r="K19" s="21" t="s">
        <v>50</v>
      </c>
      <c r="L19" s="21"/>
      <c r="M19" s="24" t="e">
        <f>IF(K19="",0,VLOOKUP(K19,#REF!,2,FALSE))</f>
        <v>#REF!</v>
      </c>
      <c r="N19" s="24">
        <f>IF(L19="",0,VLOOKUP(L19,#REF!,2,FALSE))</f>
        <v>0</v>
      </c>
      <c r="O19" s="24" t="e">
        <f t="shared" si="1"/>
        <v>#REF!</v>
      </c>
      <c r="P19" s="24" t="str">
        <f>IF(F19="Barrido","",O19)</f>
        <v/>
      </c>
      <c r="Q19" s="24" t="e">
        <f>IF(F19="Barrido",O19,"")</f>
        <v>#REF!</v>
      </c>
      <c r="R19" s="24">
        <f>IF(I19&lt;&gt;"0",I19,"")</f>
        <v>0</v>
      </c>
      <c r="S19" s="22">
        <f>IF(J19&lt;&gt;"0",J19,"")</f>
        <v>0</v>
      </c>
      <c r="T19" s="23">
        <v>2.6</v>
      </c>
      <c r="U19" s="23">
        <v>2.2999999999999998</v>
      </c>
      <c r="V19" s="23">
        <v>98</v>
      </c>
      <c r="W19" s="23">
        <v>995</v>
      </c>
      <c r="X19" s="23">
        <v>8.6999999999999993</v>
      </c>
    </row>
    <row r="20" spans="1:24" x14ac:dyDescent="0.2">
      <c r="A20" s="18">
        <v>45809</v>
      </c>
      <c r="B20" s="19" t="e">
        <f>IF(A20="","",VLOOKUP(Planilla!A20,#REF!,2,FALSE))</f>
        <v>#REF!</v>
      </c>
      <c r="C20" s="19" t="e">
        <f>IF(B20="","",VLOOKUP(Planilla!A20,#REF!,3,FALSE))</f>
        <v>#REF!</v>
      </c>
      <c r="D20" s="20" t="s">
        <v>30</v>
      </c>
      <c r="E20" s="21" t="s">
        <v>43</v>
      </c>
      <c r="F20" s="21" t="s">
        <v>32</v>
      </c>
      <c r="G20" s="21" t="s">
        <v>33</v>
      </c>
      <c r="H20" s="21" t="s">
        <v>34</v>
      </c>
      <c r="I20" s="36">
        <v>375</v>
      </c>
      <c r="J20" s="36"/>
      <c r="K20" s="21" t="s">
        <v>50</v>
      </c>
      <c r="L20" s="21"/>
      <c r="M20" s="24" t="e">
        <f>IF(K20="",0,VLOOKUP(K20,#REF!,2,FALSE))</f>
        <v>#REF!</v>
      </c>
      <c r="N20" s="24">
        <f>IF(L20="",0,VLOOKUP(L20,#REF!,2,FALSE))</f>
        <v>0</v>
      </c>
      <c r="O20" s="24" t="e">
        <f t="shared" si="1"/>
        <v>#REF!</v>
      </c>
      <c r="P20" s="24" t="e">
        <f>IF(F20="Barrido","",O20)</f>
        <v>#REF!</v>
      </c>
      <c r="Q20" s="24" t="str">
        <f>IF(F20="Barrido",O20,"")</f>
        <v/>
      </c>
      <c r="R20" s="24">
        <f>IF(I20&lt;&gt;"0",I20,"")</f>
        <v>375</v>
      </c>
      <c r="S20" s="22">
        <f>IF(J20&lt;&gt;"0",J20,"")</f>
        <v>0</v>
      </c>
      <c r="T20" s="23">
        <v>2.1</v>
      </c>
      <c r="U20" s="23">
        <v>1.8</v>
      </c>
      <c r="V20" s="23">
        <v>98</v>
      </c>
      <c r="W20" s="23">
        <v>994</v>
      </c>
      <c r="X20" s="23">
        <v>6.4</v>
      </c>
    </row>
    <row r="21" spans="1:24" x14ac:dyDescent="0.2">
      <c r="A21" s="18">
        <v>45809</v>
      </c>
      <c r="B21" s="19" t="e">
        <f>IF(A21="","",VLOOKUP(Planilla!A21,#REF!,2,FALSE))</f>
        <v>#REF!</v>
      </c>
      <c r="C21" s="19" t="e">
        <f>IF(B21="","",VLOOKUP(Planilla!A21,#REF!,3,FALSE))</f>
        <v>#REF!</v>
      </c>
      <c r="D21" s="20" t="s">
        <v>30</v>
      </c>
      <c r="E21" s="21" t="s">
        <v>43</v>
      </c>
      <c r="F21" s="21" t="s">
        <v>56</v>
      </c>
      <c r="G21" s="21" t="s">
        <v>57</v>
      </c>
      <c r="H21" s="21" t="s">
        <v>58</v>
      </c>
      <c r="I21" s="36">
        <v>25</v>
      </c>
      <c r="J21" s="36"/>
      <c r="K21" s="21"/>
      <c r="L21" s="21" t="s">
        <v>59</v>
      </c>
      <c r="M21" s="24">
        <f>IF(K21="",0,VLOOKUP(K21,#REF!,2,FALSE))</f>
        <v>0</v>
      </c>
      <c r="N21" s="24" t="e">
        <f>IF(L21="",0,VLOOKUP(L21,#REF!,2,FALSE))</f>
        <v>#REF!</v>
      </c>
      <c r="O21" s="24" t="e">
        <f t="shared" si="1"/>
        <v>#REF!</v>
      </c>
      <c r="P21" s="24" t="e">
        <f>IF(F21="Barrido","",O21)</f>
        <v>#REF!</v>
      </c>
      <c r="Q21" s="24" t="str">
        <f>IF(F21="Barrido",O21,"")</f>
        <v/>
      </c>
      <c r="R21" s="24">
        <f>IF(I21&lt;&gt;"0",I21,"")</f>
        <v>25</v>
      </c>
      <c r="S21" s="22">
        <f>IF(J21&lt;&gt;"0",J21,"")</f>
        <v>0</v>
      </c>
      <c r="T21" s="23">
        <v>2.2999999999999998</v>
      </c>
      <c r="U21" s="23">
        <v>1.9</v>
      </c>
      <c r="V21" s="23">
        <v>97</v>
      </c>
      <c r="W21" s="23">
        <v>994</v>
      </c>
      <c r="X21" s="23">
        <v>14</v>
      </c>
    </row>
    <row r="22" spans="1:24" x14ac:dyDescent="0.2">
      <c r="A22" s="18">
        <v>45810</v>
      </c>
      <c r="B22" s="19" t="e">
        <f>IF(A22="","",VLOOKUP(Planilla!A22,#REF!,2,FALSE))</f>
        <v>#REF!</v>
      </c>
      <c r="C22" s="19" t="e">
        <f>IF(B22="","",VLOOKUP(Planilla!A22,#REF!,3,FALSE))</f>
        <v>#REF!</v>
      </c>
      <c r="D22" s="20" t="s">
        <v>30</v>
      </c>
      <c r="E22" s="21" t="s">
        <v>51</v>
      </c>
      <c r="F22" s="21" t="s">
        <v>52</v>
      </c>
      <c r="G22" s="21" t="s">
        <v>53</v>
      </c>
      <c r="H22" s="21" t="s">
        <v>54</v>
      </c>
      <c r="I22" s="36"/>
      <c r="J22" s="36">
        <v>1000</v>
      </c>
      <c r="K22" s="21" t="s">
        <v>37</v>
      </c>
      <c r="L22" s="21"/>
      <c r="M22" s="24" t="e">
        <f>IF(K22="",0,VLOOKUP(K22,#REF!,2,FALSE))</f>
        <v>#REF!</v>
      </c>
      <c r="N22" s="24">
        <f>IF(L22="",0,VLOOKUP(L22,#REF!,2,FALSE))</f>
        <v>0</v>
      </c>
      <c r="O22" s="24" t="e">
        <f t="shared" si="1"/>
        <v>#REF!</v>
      </c>
      <c r="P22" s="24" t="e">
        <f>IF(F22="Barrido","",O22)</f>
        <v>#REF!</v>
      </c>
      <c r="Q22" s="24" t="str">
        <f>IF(F22="Barrido",O22,"")</f>
        <v/>
      </c>
      <c r="R22" s="24">
        <f>IF(I22&lt;&gt;"0",I22,"")</f>
        <v>0</v>
      </c>
      <c r="S22" s="22">
        <f>IF(J22&lt;&gt;"0",J22,"")</f>
        <v>1000</v>
      </c>
      <c r="T22" s="23">
        <v>-1.4</v>
      </c>
      <c r="U22" s="23">
        <v>-1.6</v>
      </c>
      <c r="V22" s="23">
        <v>96</v>
      </c>
      <c r="W22" s="23">
        <v>1000</v>
      </c>
      <c r="X22" s="23">
        <v>6.3</v>
      </c>
    </row>
    <row r="23" spans="1:24" x14ac:dyDescent="0.2">
      <c r="A23" s="18">
        <v>45811</v>
      </c>
      <c r="B23" s="19" t="e">
        <f>IF(A23="","",VLOOKUP(Planilla!A23,#REF!,2,FALSE))</f>
        <v>#REF!</v>
      </c>
      <c r="C23" s="19" t="e">
        <f>IF(B23="","",VLOOKUP(Planilla!A23,#REF!,3,FALSE))</f>
        <v>#REF!</v>
      </c>
      <c r="D23" s="20" t="s">
        <v>30</v>
      </c>
      <c r="E23" s="21" t="s">
        <v>43</v>
      </c>
      <c r="F23" s="21" t="s">
        <v>47</v>
      </c>
      <c r="G23" s="21" t="s">
        <v>48</v>
      </c>
      <c r="H23" s="21" t="s">
        <v>49</v>
      </c>
      <c r="I23" s="36"/>
      <c r="J23" s="36"/>
      <c r="K23" s="21" t="s">
        <v>50</v>
      </c>
      <c r="L23" s="21"/>
      <c r="M23" s="24" t="e">
        <f>IF(K23="",0,VLOOKUP(K23,#REF!,2,FALSE))</f>
        <v>#REF!</v>
      </c>
      <c r="N23" s="24">
        <f>IF(L23="",0,VLOOKUP(L23,#REF!,2,FALSE))</f>
        <v>0</v>
      </c>
      <c r="O23" s="24" t="e">
        <f t="shared" si="1"/>
        <v>#REF!</v>
      </c>
      <c r="P23" s="24" t="str">
        <f>IF(F23="Barrido","",O23)</f>
        <v/>
      </c>
      <c r="Q23" s="24" t="e">
        <f>IF(F23="Barrido",O23,"")</f>
        <v>#REF!</v>
      </c>
      <c r="R23" s="24">
        <f>IF(I23&lt;&gt;"0",I23,"")</f>
        <v>0</v>
      </c>
      <c r="S23" s="22">
        <f>IF(J23&lt;&gt;"0",J23,"")</f>
        <v>0</v>
      </c>
      <c r="T23" s="23">
        <v>2.2000000000000002</v>
      </c>
      <c r="U23" s="23">
        <v>0.8</v>
      </c>
      <c r="V23" s="23">
        <v>90</v>
      </c>
      <c r="W23" s="23">
        <v>1003</v>
      </c>
      <c r="X23" s="23">
        <v>3.8</v>
      </c>
    </row>
    <row r="24" spans="1:24" x14ac:dyDescent="0.2">
      <c r="A24" s="18">
        <v>45813</v>
      </c>
      <c r="B24" s="19" t="e">
        <f>IF(A24="","",VLOOKUP(Planilla!A24,#REF!,2,FALSE))</f>
        <v>#REF!</v>
      </c>
      <c r="C24" s="19" t="e">
        <f>IF(B24="","",VLOOKUP(Planilla!A24,#REF!,3,FALSE))</f>
        <v>#REF!</v>
      </c>
      <c r="D24" s="20" t="s">
        <v>30</v>
      </c>
      <c r="E24" s="21" t="s">
        <v>43</v>
      </c>
      <c r="F24" s="21" t="s">
        <v>47</v>
      </c>
      <c r="G24" s="21" t="s">
        <v>48</v>
      </c>
      <c r="H24" s="21" t="s">
        <v>49</v>
      </c>
      <c r="I24" s="36"/>
      <c r="J24" s="36"/>
      <c r="K24" s="21" t="s">
        <v>50</v>
      </c>
      <c r="L24" s="21"/>
      <c r="M24" s="24" t="e">
        <f>IF(K24="",0,VLOOKUP(K24,#REF!,2,FALSE))</f>
        <v>#REF!</v>
      </c>
      <c r="N24" s="24">
        <f>IF(L24="",0,VLOOKUP(L24,#REF!,2,FALSE))</f>
        <v>0</v>
      </c>
      <c r="O24" s="24" t="e">
        <f t="shared" si="1"/>
        <v>#REF!</v>
      </c>
      <c r="P24" s="24" t="str">
        <f>IF(F24="Barrido","",O24)</f>
        <v/>
      </c>
      <c r="Q24" s="24" t="e">
        <f>IF(F24="Barrido",O24,"")</f>
        <v>#REF!</v>
      </c>
      <c r="R24" s="24">
        <f>IF(I24&lt;&gt;"0",I24,"")</f>
        <v>0</v>
      </c>
      <c r="S24" s="22">
        <f>IF(J24&lt;&gt;"0",J24,"")</f>
        <v>0</v>
      </c>
      <c r="T24" s="23">
        <v>0.4</v>
      </c>
      <c r="U24" s="23">
        <v>0</v>
      </c>
      <c r="V24" s="23">
        <v>91</v>
      </c>
      <c r="W24" s="38">
        <v>1005.2</v>
      </c>
      <c r="X24" s="23">
        <v>10</v>
      </c>
    </row>
    <row r="25" spans="1:24" x14ac:dyDescent="0.2">
      <c r="A25" s="18">
        <v>45814</v>
      </c>
      <c r="B25" s="19" t="e">
        <f>IF(A25="","",VLOOKUP(Planilla!A25,#REF!,2,FALSE))</f>
        <v>#REF!</v>
      </c>
      <c r="C25" s="19" t="e">
        <f>IF(B25="","",VLOOKUP(Planilla!A25,#REF!,3,FALSE))</f>
        <v>#REF!</v>
      </c>
      <c r="D25" s="20" t="s">
        <v>30</v>
      </c>
      <c r="E25" s="21" t="s">
        <v>60</v>
      </c>
      <c r="F25" s="21" t="s">
        <v>52</v>
      </c>
      <c r="G25" s="21" t="s">
        <v>53</v>
      </c>
      <c r="H25" s="21" t="s">
        <v>54</v>
      </c>
      <c r="I25" s="36"/>
      <c r="J25" s="36">
        <v>1800</v>
      </c>
      <c r="K25" s="21" t="s">
        <v>35</v>
      </c>
      <c r="L25" s="21"/>
      <c r="M25" s="24" t="e">
        <f>IF(K25="",0,VLOOKUP(K25,#REF!,2,FALSE))</f>
        <v>#REF!</v>
      </c>
      <c r="N25" s="24">
        <f>IF(L25="",0,VLOOKUP(L25,#REF!,2,FALSE))</f>
        <v>0</v>
      </c>
      <c r="O25" s="24" t="e">
        <f t="shared" si="1"/>
        <v>#REF!</v>
      </c>
      <c r="P25" s="24" t="e">
        <f>IF(F25="Barrido","",O25)</f>
        <v>#REF!</v>
      </c>
      <c r="Q25" s="24" t="str">
        <f>IF(F25="Barrido",O25,"")</f>
        <v/>
      </c>
      <c r="R25" s="24">
        <f>IF(I25&lt;&gt;"0",I25,"")</f>
        <v>0</v>
      </c>
      <c r="S25" s="22">
        <f>IF(J25&lt;&gt;"0",J25,"")</f>
        <v>1800</v>
      </c>
      <c r="T25" s="23">
        <v>0</v>
      </c>
      <c r="U25" s="23">
        <v>-1</v>
      </c>
      <c r="V25" s="23">
        <v>93</v>
      </c>
      <c r="W25" s="38">
        <v>1010.2</v>
      </c>
      <c r="X25" s="23">
        <v>1.8</v>
      </c>
    </row>
    <row r="26" spans="1:24" x14ac:dyDescent="0.2">
      <c r="A26" s="18">
        <v>45814</v>
      </c>
      <c r="B26" s="19" t="e">
        <f>IF(A26="","",VLOOKUP(Planilla!A26,#REF!,2,FALSE))</f>
        <v>#REF!</v>
      </c>
      <c r="C26" s="19" t="e">
        <f>IF(B26="","",VLOOKUP(Planilla!A26,#REF!,3,FALSE))</f>
        <v>#REF!</v>
      </c>
      <c r="D26" s="20" t="s">
        <v>30</v>
      </c>
      <c r="E26" s="21" t="s">
        <v>60</v>
      </c>
      <c r="F26" s="21" t="s">
        <v>52</v>
      </c>
      <c r="G26" s="21" t="s">
        <v>53</v>
      </c>
      <c r="H26" s="21" t="s">
        <v>54</v>
      </c>
      <c r="I26" s="36"/>
      <c r="J26" s="36">
        <v>600</v>
      </c>
      <c r="K26" s="21" t="s">
        <v>59</v>
      </c>
      <c r="L26" s="21" t="s">
        <v>61</v>
      </c>
      <c r="M26" s="24" t="e">
        <f>IF(K26="",0,VLOOKUP(K26,#REF!,2,FALSE))</f>
        <v>#REF!</v>
      </c>
      <c r="N26" s="24" t="e">
        <f>IF(L26="",0,VLOOKUP(L26,#REF!,2,FALSE))</f>
        <v>#REF!</v>
      </c>
      <c r="O26" s="24" t="e">
        <f t="shared" si="1"/>
        <v>#REF!</v>
      </c>
      <c r="P26" s="24" t="e">
        <f>IF(F26="Barrido","",O26)</f>
        <v>#REF!</v>
      </c>
      <c r="Q26" s="24" t="str">
        <f>IF(F26="Barrido",O26,"")</f>
        <v/>
      </c>
      <c r="R26" s="24">
        <f>IF(I26&lt;&gt;"0",I26,"")</f>
        <v>0</v>
      </c>
      <c r="S26" s="22">
        <f>IF(J26&lt;&gt;"0",J26,"")</f>
        <v>600</v>
      </c>
      <c r="T26" s="23">
        <v>0.9</v>
      </c>
      <c r="U26" s="23">
        <v>-1</v>
      </c>
      <c r="V26" s="23">
        <v>89</v>
      </c>
      <c r="W26" s="38">
        <v>1005.7</v>
      </c>
      <c r="X26" s="23">
        <v>10</v>
      </c>
    </row>
    <row r="27" spans="1:24" x14ac:dyDescent="0.2">
      <c r="A27" s="18">
        <v>45815</v>
      </c>
      <c r="B27" s="19" t="e">
        <f>IF(A27="","",VLOOKUP(Planilla!A27,#REF!,2,FALSE))</f>
        <v>#REF!</v>
      </c>
      <c r="C27" s="19" t="e">
        <f>IF(B27="","",VLOOKUP(Planilla!A27,#REF!,3,FALSE))</f>
        <v>#REF!</v>
      </c>
      <c r="D27" s="20" t="s">
        <v>30</v>
      </c>
      <c r="E27" s="21" t="s">
        <v>43</v>
      </c>
      <c r="F27" s="21" t="s">
        <v>39</v>
      </c>
      <c r="G27" s="21" t="s">
        <v>40</v>
      </c>
      <c r="H27" s="21" t="s">
        <v>41</v>
      </c>
      <c r="I27" s="36"/>
      <c r="J27" s="36"/>
      <c r="K27" s="21" t="s">
        <v>42</v>
      </c>
      <c r="L27" s="21"/>
      <c r="M27" s="24" t="e">
        <f>IF(K27="",0,VLOOKUP(K27,#REF!,2,FALSE))</f>
        <v>#REF!</v>
      </c>
      <c r="N27" s="24">
        <f>IF(L27="",0,VLOOKUP(L27,#REF!,2,FALSE))</f>
        <v>0</v>
      </c>
      <c r="O27" s="24" t="e">
        <f t="shared" si="1"/>
        <v>#REF!</v>
      </c>
      <c r="P27" s="24" t="e">
        <f>IF(F27="Barrido","",O27)</f>
        <v>#REF!</v>
      </c>
      <c r="Q27" s="24" t="str">
        <f>IF(F27="Barrido",O27,"")</f>
        <v/>
      </c>
      <c r="R27" s="24">
        <f>IF(I27&lt;&gt;"0",I27,"")</f>
        <v>0</v>
      </c>
      <c r="S27" s="22">
        <f>IF(J27&lt;&gt;"0",J27,"")</f>
        <v>0</v>
      </c>
      <c r="T27" s="23">
        <v>-2</v>
      </c>
      <c r="U27" s="23">
        <v>-4</v>
      </c>
      <c r="V27" s="23">
        <v>99</v>
      </c>
      <c r="W27" s="23">
        <v>1020</v>
      </c>
      <c r="X27" s="23">
        <v>6.1</v>
      </c>
    </row>
    <row r="28" spans="1:24" x14ac:dyDescent="0.2">
      <c r="A28" s="18">
        <v>45815</v>
      </c>
      <c r="B28" s="19" t="e">
        <f>IF(A28="","",VLOOKUP(Planilla!A28,#REF!,2,FALSE))</f>
        <v>#REF!</v>
      </c>
      <c r="C28" s="19" t="e">
        <f>IF(B28="","",VLOOKUP(Planilla!A28,#REF!,3,FALSE))</f>
        <v>#REF!</v>
      </c>
      <c r="D28" s="20" t="s">
        <v>30</v>
      </c>
      <c r="E28" s="21" t="s">
        <v>43</v>
      </c>
      <c r="F28" s="21" t="s">
        <v>52</v>
      </c>
      <c r="G28" s="21" t="s">
        <v>53</v>
      </c>
      <c r="H28" s="21" t="s">
        <v>54</v>
      </c>
      <c r="I28" s="36"/>
      <c r="J28" s="36">
        <v>1100</v>
      </c>
      <c r="K28" s="21" t="s">
        <v>62</v>
      </c>
      <c r="L28" s="21" t="s">
        <v>50</v>
      </c>
      <c r="M28" s="24" t="e">
        <f>IF(K28="",0,VLOOKUP(K28,#REF!,2,FALSE))</f>
        <v>#REF!</v>
      </c>
      <c r="N28" s="24" t="e">
        <f>IF(L28="",0,VLOOKUP(L28,#REF!,2,FALSE))</f>
        <v>#REF!</v>
      </c>
      <c r="O28" s="24" t="e">
        <f t="shared" si="1"/>
        <v>#REF!</v>
      </c>
      <c r="P28" s="24" t="e">
        <f>IF(F28="Barrido","",O28)</f>
        <v>#REF!</v>
      </c>
      <c r="Q28" s="24" t="str">
        <f>IF(F28="Barrido",O28,"")</f>
        <v/>
      </c>
      <c r="R28" s="24">
        <f>IF(I28&lt;&gt;"0",I28,"")</f>
        <v>0</v>
      </c>
      <c r="S28" s="22">
        <f>IF(J28&lt;&gt;"0",J28,"")</f>
        <v>1100</v>
      </c>
      <c r="T28" s="23">
        <v>-1</v>
      </c>
      <c r="U28" s="23">
        <v>-1</v>
      </c>
      <c r="V28" s="23">
        <v>100</v>
      </c>
      <c r="W28" s="23">
        <v>1017</v>
      </c>
      <c r="X28" s="23">
        <v>10</v>
      </c>
    </row>
    <row r="29" spans="1:24" x14ac:dyDescent="0.2">
      <c r="A29" s="18">
        <v>45820</v>
      </c>
      <c r="B29" s="19" t="e">
        <f>IF(A29="","",VLOOKUP(Planilla!A29,#REF!,2,FALSE))</f>
        <v>#REF!</v>
      </c>
      <c r="C29" s="19" t="e">
        <f>IF(B29="","",VLOOKUP(Planilla!A29,#REF!,3,FALSE))</f>
        <v>#REF!</v>
      </c>
      <c r="D29" s="20" t="s">
        <v>30</v>
      </c>
      <c r="E29" s="21" t="s">
        <v>43</v>
      </c>
      <c r="F29" s="21" t="s">
        <v>47</v>
      </c>
      <c r="G29" s="21" t="s">
        <v>48</v>
      </c>
      <c r="H29" s="21" t="s">
        <v>49</v>
      </c>
      <c r="I29" s="36"/>
      <c r="J29" s="36"/>
      <c r="K29" s="21" t="s">
        <v>50</v>
      </c>
      <c r="L29" s="21"/>
      <c r="M29" s="24" t="e">
        <f>IF(K29="",0,VLOOKUP(K29,#REF!,2,FALSE))</f>
        <v>#REF!</v>
      </c>
      <c r="N29" s="24">
        <f>IF(L29="",0,VLOOKUP(L29,#REF!,2,FALSE))</f>
        <v>0</v>
      </c>
      <c r="O29" s="24" t="e">
        <f t="shared" si="1"/>
        <v>#REF!</v>
      </c>
      <c r="P29" s="24" t="str">
        <f>IF(F29="Barrido","",O29)</f>
        <v/>
      </c>
      <c r="Q29" s="24" t="e">
        <f>IF(F29="Barrido",O29,"")</f>
        <v>#REF!</v>
      </c>
      <c r="R29" s="24">
        <f>IF(I29&lt;&gt;"0",I29,"")</f>
        <v>0</v>
      </c>
      <c r="S29" s="22">
        <f>IF(J29&lt;&gt;"0",J29,"")</f>
        <v>0</v>
      </c>
      <c r="T29" s="23">
        <v>4</v>
      </c>
      <c r="U29" s="23">
        <v>3</v>
      </c>
      <c r="V29" s="23">
        <v>99</v>
      </c>
      <c r="W29" s="23">
        <v>1002</v>
      </c>
      <c r="X29" s="23">
        <v>2.9</v>
      </c>
    </row>
    <row r="30" spans="1:24" x14ac:dyDescent="0.2">
      <c r="A30" s="18">
        <v>45823</v>
      </c>
      <c r="B30" s="19" t="e">
        <f>IF(A30="","",VLOOKUP(Planilla!A30,#REF!,2,FALSE))</f>
        <v>#REF!</v>
      </c>
      <c r="C30" s="19" t="e">
        <f>IF(B30="","",VLOOKUP(Planilla!A30,#REF!,3,FALSE))</f>
        <v>#REF!</v>
      </c>
      <c r="D30" s="20" t="s">
        <v>30</v>
      </c>
      <c r="E30" s="21" t="s">
        <v>51</v>
      </c>
      <c r="F30" s="21" t="s">
        <v>39</v>
      </c>
      <c r="G30" s="21" t="s">
        <v>40</v>
      </c>
      <c r="H30" s="21" t="s">
        <v>41</v>
      </c>
      <c r="I30" s="36"/>
      <c r="J30" s="36"/>
      <c r="K30" s="21" t="s">
        <v>42</v>
      </c>
      <c r="L30" s="21"/>
      <c r="M30" s="24" t="e">
        <f>IF(K30="",0,VLOOKUP(K30,#REF!,2,FALSE))</f>
        <v>#REF!</v>
      </c>
      <c r="N30" s="24">
        <f>IF(L30="",0,VLOOKUP(L30,#REF!,2,FALSE))</f>
        <v>0</v>
      </c>
      <c r="O30" s="24" t="e">
        <f t="shared" si="1"/>
        <v>#REF!</v>
      </c>
      <c r="P30" s="24" t="e">
        <f>IF(F30="Barrido","",O30)</f>
        <v>#REF!</v>
      </c>
      <c r="Q30" s="24" t="str">
        <f>IF(F30="Barrido",O30,"")</f>
        <v/>
      </c>
      <c r="R30" s="24">
        <f>IF(I30&lt;&gt;"0",I30,"")</f>
        <v>0</v>
      </c>
      <c r="S30" s="22">
        <f>IF(J30&lt;&gt;"0",J30,"")</f>
        <v>0</v>
      </c>
      <c r="T30" s="23">
        <v>-0.6</v>
      </c>
      <c r="U30" s="23">
        <v>-0.8</v>
      </c>
      <c r="V30" s="23">
        <v>99</v>
      </c>
      <c r="W30" s="23">
        <v>1005</v>
      </c>
      <c r="X30" s="23">
        <v>3.6</v>
      </c>
    </row>
    <row r="31" spans="1:24" x14ac:dyDescent="0.2">
      <c r="A31" s="18">
        <v>45823</v>
      </c>
      <c r="B31" s="19" t="e">
        <f>IF(A31="","",VLOOKUP(Planilla!A31,#REF!,2,FALSE))</f>
        <v>#REF!</v>
      </c>
      <c r="C31" s="19" t="e">
        <f>IF(B31="","",VLOOKUP(Planilla!A31,#REF!,3,FALSE))</f>
        <v>#REF!</v>
      </c>
      <c r="D31" s="20" t="s">
        <v>30</v>
      </c>
      <c r="E31" s="21" t="s">
        <v>51</v>
      </c>
      <c r="F31" s="21" t="s">
        <v>39</v>
      </c>
      <c r="G31" s="21" t="s">
        <v>40</v>
      </c>
      <c r="H31" s="21" t="s">
        <v>41</v>
      </c>
      <c r="I31" s="36"/>
      <c r="J31" s="36"/>
      <c r="K31" s="21" t="s">
        <v>42</v>
      </c>
      <c r="L31" s="21"/>
      <c r="M31" s="24" t="e">
        <f>IF(K31="",0,VLOOKUP(K31,#REF!,2,FALSE))</f>
        <v>#REF!</v>
      </c>
      <c r="N31" s="24">
        <f>IF(L31="",0,VLOOKUP(L31,#REF!,2,FALSE))</f>
        <v>0</v>
      </c>
      <c r="O31" s="24" t="e">
        <f t="shared" si="1"/>
        <v>#REF!</v>
      </c>
      <c r="P31" s="24" t="e">
        <f>IF(F31="Barrido","",O31)</f>
        <v>#REF!</v>
      </c>
      <c r="Q31" s="24" t="str">
        <f>IF(F31="Barrido",O31,"")</f>
        <v/>
      </c>
      <c r="R31" s="24">
        <f>IF(I31&lt;&gt;"0",I31,"")</f>
        <v>0</v>
      </c>
      <c r="S31" s="22">
        <f>IF(J31&lt;&gt;"0",J31,"")</f>
        <v>0</v>
      </c>
      <c r="T31" s="23">
        <v>-1.3</v>
      </c>
      <c r="U31" s="23">
        <v>-1.5</v>
      </c>
      <c r="V31" s="23">
        <v>99</v>
      </c>
      <c r="W31" s="23">
        <v>1005</v>
      </c>
      <c r="X31" s="23">
        <v>4.2</v>
      </c>
    </row>
    <row r="32" spans="1:24" x14ac:dyDescent="0.2">
      <c r="A32" s="18">
        <v>45823</v>
      </c>
      <c r="B32" s="19" t="e">
        <f>IF(A32="","",VLOOKUP(Planilla!A32,#REF!,2,FALSE))</f>
        <v>#REF!</v>
      </c>
      <c r="C32" s="19" t="e">
        <f>IF(B32="","",VLOOKUP(Planilla!A32,#REF!,3,FALSE))</f>
        <v>#REF!</v>
      </c>
      <c r="D32" s="20" t="s">
        <v>30</v>
      </c>
      <c r="E32" s="21" t="s">
        <v>51</v>
      </c>
      <c r="F32" s="21" t="s">
        <v>39</v>
      </c>
      <c r="G32" s="21" t="s">
        <v>40</v>
      </c>
      <c r="H32" s="21" t="s">
        <v>41</v>
      </c>
      <c r="I32" s="36"/>
      <c r="J32" s="36"/>
      <c r="K32" s="21" t="s">
        <v>42</v>
      </c>
      <c r="L32" s="21"/>
      <c r="M32" s="24" t="e">
        <f>IF(K32="",0,VLOOKUP(K32,#REF!,2,FALSE))</f>
        <v>#REF!</v>
      </c>
      <c r="N32" s="24">
        <f>IF(L32="",0,VLOOKUP(L32,#REF!,2,FALSE))</f>
        <v>0</v>
      </c>
      <c r="O32" s="24" t="e">
        <f t="shared" si="1"/>
        <v>#REF!</v>
      </c>
      <c r="P32" s="24" t="e">
        <f>IF(F32="Barrido","",O32)</f>
        <v>#REF!</v>
      </c>
      <c r="Q32" s="24" t="str">
        <f>IF(F32="Barrido",O32,"")</f>
        <v/>
      </c>
      <c r="R32" s="24">
        <f>IF(I32&lt;&gt;"0",I32,"")</f>
        <v>0</v>
      </c>
      <c r="S32" s="22">
        <f>IF(J32&lt;&gt;"0",J32,"")</f>
        <v>0</v>
      </c>
      <c r="T32" s="23">
        <v>-2.7</v>
      </c>
      <c r="U32" s="23">
        <v>-2.9</v>
      </c>
      <c r="V32" s="23">
        <v>99</v>
      </c>
      <c r="W32" s="23">
        <v>1004</v>
      </c>
      <c r="X32" s="23">
        <v>7.5</v>
      </c>
    </row>
    <row r="33" spans="1:24" x14ac:dyDescent="0.2">
      <c r="A33" s="18">
        <v>45824</v>
      </c>
      <c r="B33" s="19" t="e">
        <f>IF(A33="","",VLOOKUP(Planilla!A33,#REF!,2,FALSE))</f>
        <v>#REF!</v>
      </c>
      <c r="C33" s="19" t="e">
        <f>IF(B33="","",VLOOKUP(Planilla!A33,#REF!,3,FALSE))</f>
        <v>#REF!</v>
      </c>
      <c r="D33" s="20" t="s">
        <v>30</v>
      </c>
      <c r="E33" s="21" t="s">
        <v>51</v>
      </c>
      <c r="F33" s="21" t="s">
        <v>39</v>
      </c>
      <c r="G33" s="21" t="s">
        <v>40</v>
      </c>
      <c r="H33" s="21" t="s">
        <v>41</v>
      </c>
      <c r="I33" s="36"/>
      <c r="J33" s="36"/>
      <c r="K33" s="21" t="s">
        <v>42</v>
      </c>
      <c r="L33" s="21"/>
      <c r="M33" s="24" t="e">
        <f>IF(K33="",0,VLOOKUP(K33,#REF!,2,FALSE))</f>
        <v>#REF!</v>
      </c>
      <c r="N33" s="24">
        <f>IF(L33="",0,VLOOKUP(L33,#REF!,2,FALSE))</f>
        <v>0</v>
      </c>
      <c r="O33" s="24" t="e">
        <f t="shared" si="1"/>
        <v>#REF!</v>
      </c>
      <c r="P33" s="24" t="e">
        <f>IF(F33="Barrido","",O33)</f>
        <v>#REF!</v>
      </c>
      <c r="Q33" s="24" t="str">
        <f>IF(F33="Barrido",O33,"")</f>
        <v/>
      </c>
      <c r="R33" s="24">
        <f>IF(I33&lt;&gt;"0",I33,"")</f>
        <v>0</v>
      </c>
      <c r="S33" s="22">
        <f>IF(J33&lt;&gt;"0",J33,"")</f>
        <v>0</v>
      </c>
      <c r="T33" s="23">
        <v>-3.2</v>
      </c>
      <c r="U33" s="23">
        <v>-3.3</v>
      </c>
      <c r="V33" s="23">
        <v>99</v>
      </c>
      <c r="W33" s="23">
        <v>1004</v>
      </c>
      <c r="X33" s="23">
        <v>4.8</v>
      </c>
    </row>
    <row r="34" spans="1:24" x14ac:dyDescent="0.2">
      <c r="A34" s="18">
        <v>45823</v>
      </c>
      <c r="B34" s="19" t="e">
        <f>IF(A34="","",VLOOKUP(Planilla!A34,#REF!,2,FALSE))</f>
        <v>#REF!</v>
      </c>
      <c r="C34" s="19" t="e">
        <f>IF(B34="","",VLOOKUP(Planilla!A34,#REF!,3,FALSE))</f>
        <v>#REF!</v>
      </c>
      <c r="D34" s="20" t="s">
        <v>30</v>
      </c>
      <c r="E34" s="21" t="s">
        <v>51</v>
      </c>
      <c r="F34" s="21" t="s">
        <v>52</v>
      </c>
      <c r="G34" s="21" t="s">
        <v>53</v>
      </c>
      <c r="H34" s="21" t="s">
        <v>54</v>
      </c>
      <c r="I34" s="36"/>
      <c r="J34" s="36">
        <v>2750</v>
      </c>
      <c r="K34" s="21" t="s">
        <v>35</v>
      </c>
      <c r="L34" s="21"/>
      <c r="M34" s="24" t="e">
        <f>IF(K34="",0,VLOOKUP(K34,#REF!,2,FALSE))</f>
        <v>#REF!</v>
      </c>
      <c r="N34" s="24">
        <f>IF(L34="",0,VLOOKUP(L34,#REF!,2,FALSE))</f>
        <v>0</v>
      </c>
      <c r="O34" s="24" t="e">
        <f t="shared" si="1"/>
        <v>#REF!</v>
      </c>
      <c r="P34" s="24" t="e">
        <f>IF(F34="Barrido","",O34)</f>
        <v>#REF!</v>
      </c>
      <c r="Q34" s="24" t="str">
        <f>IF(F34="Barrido",O34,"")</f>
        <v/>
      </c>
      <c r="R34" s="24">
        <f>IF(I34&lt;&gt;"0",I34,"")</f>
        <v>0</v>
      </c>
      <c r="S34" s="22">
        <f>IF(J34&lt;&gt;"0",J34,"")</f>
        <v>2750</v>
      </c>
      <c r="T34" s="23">
        <v>-3</v>
      </c>
      <c r="U34" s="23">
        <v>-3.2</v>
      </c>
      <c r="V34" s="23">
        <v>99</v>
      </c>
      <c r="W34" s="23">
        <v>1005</v>
      </c>
      <c r="X34" s="23">
        <v>4.5</v>
      </c>
    </row>
    <row r="35" spans="1:24" x14ac:dyDescent="0.2">
      <c r="A35" s="18">
        <v>45824</v>
      </c>
      <c r="B35" s="19" t="e">
        <f>IF(A35="","",VLOOKUP(Planilla!A35,#REF!,2,FALSE))</f>
        <v>#REF!</v>
      </c>
      <c r="C35" s="19" t="e">
        <f>IF(B35="","",VLOOKUP(Planilla!A35,#REF!,3,FALSE))</f>
        <v>#REF!</v>
      </c>
      <c r="D35" s="20" t="s">
        <v>30</v>
      </c>
      <c r="E35" s="21" t="s">
        <v>51</v>
      </c>
      <c r="F35" s="21" t="s">
        <v>52</v>
      </c>
      <c r="G35" s="21" t="s">
        <v>53</v>
      </c>
      <c r="H35" s="21" t="s">
        <v>54</v>
      </c>
      <c r="I35" s="36"/>
      <c r="J35" s="36">
        <v>850</v>
      </c>
      <c r="K35" s="21" t="s">
        <v>63</v>
      </c>
      <c r="L35" s="21" t="s">
        <v>59</v>
      </c>
      <c r="M35" s="24" t="e">
        <f>IF(K35="",0,VLOOKUP(K35,#REF!,2,FALSE))</f>
        <v>#REF!</v>
      </c>
      <c r="N35" s="24" t="e">
        <f>IF(L35="",0,VLOOKUP(L35,#REF!,2,FALSE))</f>
        <v>#REF!</v>
      </c>
      <c r="O35" s="24" t="e">
        <f t="shared" si="1"/>
        <v>#REF!</v>
      </c>
      <c r="P35" s="24" t="e">
        <f>IF(F35="Barrido","",O35)</f>
        <v>#REF!</v>
      </c>
      <c r="Q35" s="24" t="str">
        <f>IF(F35="Barrido",O35,"")</f>
        <v/>
      </c>
      <c r="R35" s="24">
        <f>IF(I35&lt;&gt;"0",I35,"")</f>
        <v>0</v>
      </c>
      <c r="S35" s="22">
        <f>IF(J35&lt;&gt;"0",J35,"")</f>
        <v>850</v>
      </c>
      <c r="T35" s="23">
        <v>-3.7</v>
      </c>
      <c r="U35" s="23">
        <v>-3.9</v>
      </c>
      <c r="V35" s="23">
        <v>99</v>
      </c>
      <c r="W35" s="23">
        <v>1004</v>
      </c>
      <c r="X35" s="23">
        <v>0.4</v>
      </c>
    </row>
    <row r="36" spans="1:24" x14ac:dyDescent="0.2">
      <c r="A36" s="18">
        <v>45824</v>
      </c>
      <c r="B36" s="19" t="e">
        <f>IF(A36="","",VLOOKUP(Planilla!A36,#REF!,2,FALSE))</f>
        <v>#REF!</v>
      </c>
      <c r="C36" s="19" t="e">
        <f>IF(B36="","",VLOOKUP(Planilla!A36,#REF!,3,FALSE))</f>
        <v>#REF!</v>
      </c>
      <c r="D36" s="20" t="s">
        <v>30</v>
      </c>
      <c r="E36" s="21" t="s">
        <v>51</v>
      </c>
      <c r="F36" s="21" t="s">
        <v>39</v>
      </c>
      <c r="G36" s="21" t="s">
        <v>40</v>
      </c>
      <c r="H36" s="21" t="s">
        <v>41</v>
      </c>
      <c r="I36" s="36"/>
      <c r="J36" s="36"/>
      <c r="K36" s="21" t="s">
        <v>42</v>
      </c>
      <c r="L36" s="21"/>
      <c r="M36" s="24" t="e">
        <f>IF(K36="",0,VLOOKUP(K36,#REF!,2,FALSE))</f>
        <v>#REF!</v>
      </c>
      <c r="N36" s="24">
        <f>IF(L36="",0,VLOOKUP(L36,#REF!,2,FALSE))</f>
        <v>0</v>
      </c>
      <c r="O36" s="24" t="e">
        <f t="shared" ref="O36:O78" si="2">M36+N36</f>
        <v>#REF!</v>
      </c>
      <c r="P36" s="24" t="e">
        <f>IF(F36="Barrido","",O36)</f>
        <v>#REF!</v>
      </c>
      <c r="Q36" s="24" t="str">
        <f>IF(F36="Barrido",O36,"")</f>
        <v/>
      </c>
      <c r="R36" s="24">
        <f>IF(I36&lt;&gt;"0",I36,"")</f>
        <v>0</v>
      </c>
      <c r="S36" s="22">
        <f>IF(J36&lt;&gt;"0",J36,"")</f>
        <v>0</v>
      </c>
      <c r="T36" s="23">
        <v>-5.2</v>
      </c>
      <c r="U36" s="23">
        <v>-5.4</v>
      </c>
      <c r="V36" s="23">
        <v>99</v>
      </c>
      <c r="W36" s="23">
        <v>1004</v>
      </c>
      <c r="X36" s="23">
        <v>3.5</v>
      </c>
    </row>
    <row r="37" spans="1:24" x14ac:dyDescent="0.2">
      <c r="A37" s="18">
        <v>45824</v>
      </c>
      <c r="B37" s="19" t="e">
        <f>IF(A37="","",VLOOKUP(Planilla!A37,#REF!,2,FALSE))</f>
        <v>#REF!</v>
      </c>
      <c r="C37" s="19" t="e">
        <f>IF(B37="","",VLOOKUP(Planilla!A37,#REF!,3,FALSE))</f>
        <v>#REF!</v>
      </c>
      <c r="D37" s="20" t="s">
        <v>30</v>
      </c>
      <c r="E37" s="21" t="s">
        <v>51</v>
      </c>
      <c r="F37" s="21" t="s">
        <v>52</v>
      </c>
      <c r="G37" s="21" t="s">
        <v>53</v>
      </c>
      <c r="H37" s="21" t="s">
        <v>54</v>
      </c>
      <c r="I37" s="36"/>
      <c r="J37" s="36">
        <v>1000</v>
      </c>
      <c r="K37" s="21" t="s">
        <v>35</v>
      </c>
      <c r="L37" s="21"/>
      <c r="M37" s="24" t="e">
        <f>IF(K37="",0,VLOOKUP(K37,#REF!,2,FALSE))</f>
        <v>#REF!</v>
      </c>
      <c r="N37" s="24">
        <f>IF(L37="",0,VLOOKUP(L37,#REF!,2,FALSE))</f>
        <v>0</v>
      </c>
      <c r="O37" s="24" t="e">
        <f t="shared" si="2"/>
        <v>#REF!</v>
      </c>
      <c r="P37" s="24" t="e">
        <f>IF(F37="Barrido","",O37)</f>
        <v>#REF!</v>
      </c>
      <c r="Q37" s="24" t="str">
        <f>IF(F37="Barrido",O37,"")</f>
        <v/>
      </c>
      <c r="R37" s="24">
        <f>IF(I37&lt;&gt;"0",I37,"")</f>
        <v>0</v>
      </c>
      <c r="S37" s="22">
        <f>IF(J37&lt;&gt;"0",J37,"")</f>
        <v>1000</v>
      </c>
      <c r="T37" s="23">
        <v>-6</v>
      </c>
      <c r="U37" s="23">
        <v>-5</v>
      </c>
      <c r="V37" s="23">
        <v>99</v>
      </c>
      <c r="W37" s="23">
        <v>1002</v>
      </c>
      <c r="X37" s="23">
        <v>0</v>
      </c>
    </row>
    <row r="38" spans="1:24" x14ac:dyDescent="0.2">
      <c r="A38" s="18">
        <v>45824</v>
      </c>
      <c r="B38" s="19" t="e">
        <f>IF(A38="","",VLOOKUP(Planilla!A38,#REF!,2,FALSE))</f>
        <v>#REF!</v>
      </c>
      <c r="C38" s="19" t="e">
        <f>IF(B38="","",VLOOKUP(Planilla!A38,#REF!,3,FALSE))</f>
        <v>#REF!</v>
      </c>
      <c r="D38" s="20" t="s">
        <v>30</v>
      </c>
      <c r="E38" s="21" t="s">
        <v>43</v>
      </c>
      <c r="F38" s="21" t="s">
        <v>39</v>
      </c>
      <c r="G38" s="21" t="s">
        <v>40</v>
      </c>
      <c r="H38" s="21" t="s">
        <v>41</v>
      </c>
      <c r="I38" s="36"/>
      <c r="J38" s="36"/>
      <c r="K38" s="21" t="s">
        <v>42</v>
      </c>
      <c r="L38" s="21"/>
      <c r="M38" s="24" t="e">
        <f>IF(K38="",0,VLOOKUP(K38,#REF!,2,FALSE))</f>
        <v>#REF!</v>
      </c>
      <c r="N38" s="24">
        <f>IF(L38="",0,VLOOKUP(L38,#REF!,2,FALSE))</f>
        <v>0</v>
      </c>
      <c r="O38" s="24" t="e">
        <f t="shared" si="2"/>
        <v>#REF!</v>
      </c>
      <c r="P38" s="24" t="e">
        <f>IF(F38="Barrido","",O38)</f>
        <v>#REF!</v>
      </c>
      <c r="Q38" s="24" t="str">
        <f>IF(F38="Barrido",O38,"")</f>
        <v/>
      </c>
      <c r="R38" s="24">
        <f>IF(I38&lt;&gt;"0",I38,"")</f>
        <v>0</v>
      </c>
      <c r="S38" s="22">
        <f>IF(J38&lt;&gt;"0",J38,"")</f>
        <v>0</v>
      </c>
      <c r="T38" s="23">
        <v>1</v>
      </c>
      <c r="U38" s="23">
        <v>0</v>
      </c>
      <c r="V38" s="23">
        <v>98</v>
      </c>
      <c r="W38" s="23">
        <v>1024</v>
      </c>
      <c r="X38" s="23">
        <v>12</v>
      </c>
    </row>
    <row r="39" spans="1:24" x14ac:dyDescent="0.2">
      <c r="A39" s="18">
        <v>45824</v>
      </c>
      <c r="B39" s="19" t="e">
        <f>IF(A39="","",VLOOKUP(Planilla!A39,#REF!,2,FALSE))</f>
        <v>#REF!</v>
      </c>
      <c r="C39" s="19" t="e">
        <f>IF(B39="","",VLOOKUP(Planilla!A39,#REF!,3,FALSE))</f>
        <v>#REF!</v>
      </c>
      <c r="D39" s="20" t="s">
        <v>30</v>
      </c>
      <c r="E39" s="21" t="s">
        <v>43</v>
      </c>
      <c r="F39" s="21" t="s">
        <v>39</v>
      </c>
      <c r="G39" s="21" t="s">
        <v>40</v>
      </c>
      <c r="H39" s="21" t="s">
        <v>41</v>
      </c>
      <c r="I39" s="36"/>
      <c r="J39" s="36"/>
      <c r="K39" s="21" t="s">
        <v>42</v>
      </c>
      <c r="L39" s="21"/>
      <c r="M39" s="24" t="e">
        <f>IF(K39="",0,VLOOKUP(K39,#REF!,2,FALSE))</f>
        <v>#REF!</v>
      </c>
      <c r="N39" s="24">
        <f>IF(L39="",0,VLOOKUP(L39,#REF!,2,FALSE))</f>
        <v>0</v>
      </c>
      <c r="O39" s="24" t="e">
        <f t="shared" si="2"/>
        <v>#REF!</v>
      </c>
      <c r="P39" s="24" t="e">
        <f>IF(F39="Barrido","",O39)</f>
        <v>#REF!</v>
      </c>
      <c r="Q39" s="24" t="str">
        <f>IF(F39="Barrido",O39,"")</f>
        <v/>
      </c>
      <c r="R39" s="24">
        <f>IF(I39&lt;&gt;"0",I39,"")</f>
        <v>0</v>
      </c>
      <c r="S39" s="22">
        <f>IF(J39&lt;&gt;"0",J39,"")</f>
        <v>0</v>
      </c>
      <c r="T39" s="23">
        <v>0</v>
      </c>
      <c r="U39" s="23">
        <v>0</v>
      </c>
      <c r="V39" s="23">
        <v>97</v>
      </c>
      <c r="W39" s="23">
        <v>1024</v>
      </c>
      <c r="X39" s="23">
        <v>12</v>
      </c>
    </row>
    <row r="40" spans="1:24" x14ac:dyDescent="0.2">
      <c r="A40" s="18">
        <v>45825</v>
      </c>
      <c r="B40" s="19" t="e">
        <f>IF(A40="","",VLOOKUP(Planilla!A40,#REF!,2,FALSE))</f>
        <v>#REF!</v>
      </c>
      <c r="C40" s="19" t="e">
        <f>IF(B40="","",VLOOKUP(Planilla!A40,#REF!,3,FALSE))</f>
        <v>#REF!</v>
      </c>
      <c r="D40" s="20" t="s">
        <v>30</v>
      </c>
      <c r="E40" s="21" t="s">
        <v>43</v>
      </c>
      <c r="F40" s="21" t="s">
        <v>52</v>
      </c>
      <c r="G40" s="21" t="s">
        <v>53</v>
      </c>
      <c r="H40" s="21" t="s">
        <v>54</v>
      </c>
      <c r="I40" s="36"/>
      <c r="J40" s="36">
        <v>500</v>
      </c>
      <c r="K40" s="21" t="s">
        <v>38</v>
      </c>
      <c r="L40" s="21"/>
      <c r="M40" s="24" t="e">
        <f>IF(K40="",0,VLOOKUP(K40,#REF!,2,FALSE))</f>
        <v>#REF!</v>
      </c>
      <c r="N40" s="24">
        <f>IF(L40="",0,VLOOKUP(L40,#REF!,2,FALSE))</f>
        <v>0</v>
      </c>
      <c r="O40" s="24" t="e">
        <f t="shared" si="2"/>
        <v>#REF!</v>
      </c>
      <c r="P40" s="24" t="e">
        <f>IF(F40="Barrido","",O40)</f>
        <v>#REF!</v>
      </c>
      <c r="Q40" s="24" t="str">
        <f>IF(F40="Barrido",O40,"")</f>
        <v/>
      </c>
      <c r="R40" s="24">
        <f>IF(I40&lt;&gt;"0",I40,"")</f>
        <v>0</v>
      </c>
      <c r="S40" s="22">
        <f>IF(J40&lt;&gt;"0",J40,"")</f>
        <v>500</v>
      </c>
      <c r="T40" s="23">
        <v>-0.5</v>
      </c>
      <c r="U40" s="23">
        <v>-1</v>
      </c>
      <c r="V40" s="23">
        <v>95</v>
      </c>
      <c r="W40" s="23">
        <v>1003</v>
      </c>
      <c r="X40" s="23" t="s">
        <v>64</v>
      </c>
    </row>
    <row r="41" spans="1:24" x14ac:dyDescent="0.2">
      <c r="A41" s="18">
        <v>45825</v>
      </c>
      <c r="B41" s="19" t="e">
        <f>IF(A41="","",VLOOKUP(Planilla!A41,#REF!,2,FALSE))</f>
        <v>#REF!</v>
      </c>
      <c r="C41" s="19" t="e">
        <f>IF(B41="","",VLOOKUP(Planilla!A41,#REF!,3,FALSE))</f>
        <v>#REF!</v>
      </c>
      <c r="D41" s="20" t="s">
        <v>30</v>
      </c>
      <c r="E41" s="21" t="s">
        <v>43</v>
      </c>
      <c r="F41" s="21" t="s">
        <v>52</v>
      </c>
      <c r="G41" s="21" t="s">
        <v>53</v>
      </c>
      <c r="H41" s="21" t="s">
        <v>54</v>
      </c>
      <c r="I41" s="36"/>
      <c r="J41" s="36">
        <v>1800</v>
      </c>
      <c r="K41" s="21" t="s">
        <v>37</v>
      </c>
      <c r="L41" s="21"/>
      <c r="M41" s="24" t="e">
        <f>IF(K41="",0,VLOOKUP(K41,#REF!,2,FALSE))</f>
        <v>#REF!</v>
      </c>
      <c r="N41" s="24">
        <f>IF(L41="",0,VLOOKUP(L41,#REF!,2,FALSE))</f>
        <v>0</v>
      </c>
      <c r="O41" s="24" t="e">
        <f t="shared" si="2"/>
        <v>#REF!</v>
      </c>
      <c r="P41" s="24" t="e">
        <f>IF(F41="Barrido","",O41)</f>
        <v>#REF!</v>
      </c>
      <c r="Q41" s="24" t="str">
        <f>IF(F41="Barrido",O41,"")</f>
        <v/>
      </c>
      <c r="R41" s="24">
        <f>IF(I41&lt;&gt;"0",I41,"")</f>
        <v>0</v>
      </c>
      <c r="S41" s="22">
        <f>IF(J41&lt;&gt;"0",J41,"")</f>
        <v>1800</v>
      </c>
      <c r="T41" s="23">
        <v>-1.3</v>
      </c>
      <c r="U41" s="23">
        <v>-2</v>
      </c>
      <c r="V41" s="23">
        <v>95</v>
      </c>
      <c r="W41" s="23">
        <v>1003</v>
      </c>
      <c r="X41" s="23">
        <v>6.5</v>
      </c>
    </row>
    <row r="42" spans="1:24" x14ac:dyDescent="0.2">
      <c r="A42" s="18">
        <v>45825</v>
      </c>
      <c r="B42" s="19" t="e">
        <f>IF(A42="","",VLOOKUP(Planilla!A42,#REF!,2,FALSE))</f>
        <v>#REF!</v>
      </c>
      <c r="C42" s="19" t="e">
        <f>IF(B42="","",VLOOKUP(Planilla!A42,#REF!,3,FALSE))</f>
        <v>#REF!</v>
      </c>
      <c r="D42" s="20" t="s">
        <v>30</v>
      </c>
      <c r="E42" s="21" t="s">
        <v>31</v>
      </c>
      <c r="F42" s="21" t="s">
        <v>39</v>
      </c>
      <c r="G42" s="21" t="s">
        <v>40</v>
      </c>
      <c r="H42" s="21" t="s">
        <v>41</v>
      </c>
      <c r="I42" s="36"/>
      <c r="J42" s="36"/>
      <c r="K42" s="21" t="s">
        <v>42</v>
      </c>
      <c r="L42" s="21"/>
      <c r="M42" s="24" t="e">
        <f>IF(K42="",0,VLOOKUP(K42,#REF!,2,FALSE))</f>
        <v>#REF!</v>
      </c>
      <c r="N42" s="24">
        <f>IF(L42="",0,VLOOKUP(L42,#REF!,2,FALSE))</f>
        <v>0</v>
      </c>
      <c r="O42" s="24" t="e">
        <f t="shared" si="2"/>
        <v>#REF!</v>
      </c>
      <c r="P42" s="24" t="e">
        <f>IF(F42="Barrido","",O42)</f>
        <v>#REF!</v>
      </c>
      <c r="Q42" s="24" t="str">
        <f>IF(F42="Barrido",O42,"")</f>
        <v/>
      </c>
      <c r="R42" s="24">
        <f>IF(I42&lt;&gt;"0",I42,"")</f>
        <v>0</v>
      </c>
      <c r="S42" s="22">
        <f>IF(J42&lt;&gt;"0",J42,"")</f>
        <v>0</v>
      </c>
      <c r="T42" s="23">
        <v>-1.5</v>
      </c>
      <c r="U42" s="23">
        <v>-3</v>
      </c>
      <c r="V42" s="23">
        <v>95</v>
      </c>
      <c r="W42" s="23">
        <v>1003</v>
      </c>
      <c r="X42" s="23">
        <v>5.4</v>
      </c>
    </row>
    <row r="43" spans="1:24" x14ac:dyDescent="0.2">
      <c r="A43" s="18">
        <v>45826</v>
      </c>
      <c r="B43" s="19" t="e">
        <f>IF(A43="","",VLOOKUP(Planilla!A43,#REF!,2,FALSE))</f>
        <v>#REF!</v>
      </c>
      <c r="C43" s="19" t="e">
        <f>IF(B43="","",VLOOKUP(Planilla!A43,#REF!,3,FALSE))</f>
        <v>#REF!</v>
      </c>
      <c r="D43" s="20" t="s">
        <v>30</v>
      </c>
      <c r="E43" s="21" t="s">
        <v>51</v>
      </c>
      <c r="F43" s="21" t="s">
        <v>39</v>
      </c>
      <c r="G43" s="21" t="s">
        <v>40</v>
      </c>
      <c r="H43" s="21" t="s">
        <v>41</v>
      </c>
      <c r="I43" s="36"/>
      <c r="J43" s="36"/>
      <c r="K43" s="21" t="s">
        <v>42</v>
      </c>
      <c r="L43" s="21"/>
      <c r="M43" s="24" t="e">
        <f>IF(K43="",0,VLOOKUP(K43,#REF!,2,FALSE))</f>
        <v>#REF!</v>
      </c>
      <c r="N43" s="24">
        <f>IF(L43="",0,VLOOKUP(L43,#REF!,2,FALSE))</f>
        <v>0</v>
      </c>
      <c r="O43" s="24" t="e">
        <f t="shared" si="2"/>
        <v>#REF!</v>
      </c>
      <c r="P43" s="24" t="e">
        <f>IF(F43="Barrido","",O43)</f>
        <v>#REF!</v>
      </c>
      <c r="Q43" s="24" t="str">
        <f>IF(F43="Barrido",O43,"")</f>
        <v/>
      </c>
      <c r="R43" s="24">
        <f>IF(I43&lt;&gt;"0",I43,"")</f>
        <v>0</v>
      </c>
      <c r="S43" s="22">
        <f>IF(J43&lt;&gt;"0",J43,"")</f>
        <v>0</v>
      </c>
      <c r="T43" s="23">
        <v>-2.4</v>
      </c>
      <c r="U43" s="23">
        <v>-4</v>
      </c>
      <c r="V43" s="23">
        <v>95</v>
      </c>
      <c r="W43" s="23">
        <v>1010</v>
      </c>
      <c r="X43" s="23">
        <v>6.1</v>
      </c>
    </row>
    <row r="44" spans="1:24" x14ac:dyDescent="0.2">
      <c r="A44" s="18">
        <v>45826</v>
      </c>
      <c r="B44" s="19" t="e">
        <f>IF(A44="","",VLOOKUP(Planilla!A44,#REF!,2,FALSE))</f>
        <v>#REF!</v>
      </c>
      <c r="C44" s="19" t="e">
        <f>IF(B44="","",VLOOKUP(Planilla!A44,#REF!,3,FALSE))</f>
        <v>#REF!</v>
      </c>
      <c r="D44" s="20" t="s">
        <v>30</v>
      </c>
      <c r="E44" s="21" t="s">
        <v>51</v>
      </c>
      <c r="F44" s="21" t="s">
        <v>52</v>
      </c>
      <c r="G44" s="21" t="s">
        <v>65</v>
      </c>
      <c r="H44" s="21" t="s">
        <v>54</v>
      </c>
      <c r="I44" s="36"/>
      <c r="J44" s="36">
        <v>1600</v>
      </c>
      <c r="K44" s="21" t="s">
        <v>35</v>
      </c>
      <c r="L44" s="21"/>
      <c r="M44" s="24" t="e">
        <f>IF(K44="",0,VLOOKUP(K44,#REF!,2,FALSE))</f>
        <v>#REF!</v>
      </c>
      <c r="N44" s="24">
        <f>IF(L44="",0,VLOOKUP(L44,#REF!,2,FALSE))</f>
        <v>0</v>
      </c>
      <c r="O44" s="24" t="e">
        <f t="shared" si="2"/>
        <v>#REF!</v>
      </c>
      <c r="P44" s="24" t="e">
        <f>IF(F44="Barrido","",O44)</f>
        <v>#REF!</v>
      </c>
      <c r="Q44" s="24" t="str">
        <f>IF(F44="Barrido",O44,"")</f>
        <v/>
      </c>
      <c r="R44" s="24">
        <f>IF(I44&lt;&gt;"0",I44,"")</f>
        <v>0</v>
      </c>
      <c r="S44" s="22">
        <f>IF(J44&lt;&gt;"0",J44,"")</f>
        <v>1600</v>
      </c>
      <c r="T44" s="23">
        <v>-5.9</v>
      </c>
      <c r="U44" s="23">
        <v>-6</v>
      </c>
      <c r="V44" s="23">
        <v>99</v>
      </c>
      <c r="W44" s="23">
        <v>1010</v>
      </c>
      <c r="X44" s="23">
        <v>2.9</v>
      </c>
    </row>
    <row r="45" spans="1:24" x14ac:dyDescent="0.2">
      <c r="A45" s="18">
        <v>45826</v>
      </c>
      <c r="B45" s="19" t="e">
        <f>IF(A45="","",VLOOKUP(Planilla!A45,#REF!,2,FALSE))</f>
        <v>#REF!</v>
      </c>
      <c r="C45" s="19" t="e">
        <f>IF(B45="","",VLOOKUP(Planilla!A45,#REF!,3,FALSE))</f>
        <v>#REF!</v>
      </c>
      <c r="D45" s="20" t="s">
        <v>30</v>
      </c>
      <c r="E45" s="21" t="s">
        <v>51</v>
      </c>
      <c r="F45" s="21" t="s">
        <v>39</v>
      </c>
      <c r="G45" s="21" t="s">
        <v>40</v>
      </c>
      <c r="H45" s="21" t="s">
        <v>41</v>
      </c>
      <c r="I45" s="36"/>
      <c r="J45" s="36"/>
      <c r="K45" s="21" t="s">
        <v>42</v>
      </c>
      <c r="L45" s="21"/>
      <c r="M45" s="24" t="e">
        <f>IF(K45="",0,VLOOKUP(K45,#REF!,2,FALSE))</f>
        <v>#REF!</v>
      </c>
      <c r="N45" s="24">
        <f>IF(L45="",0,VLOOKUP(L45,#REF!,2,FALSE))</f>
        <v>0</v>
      </c>
      <c r="O45" s="24" t="e">
        <f t="shared" si="2"/>
        <v>#REF!</v>
      </c>
      <c r="P45" s="24" t="e">
        <f>IF(F45="Barrido","",O45)</f>
        <v>#REF!</v>
      </c>
      <c r="Q45" s="24" t="str">
        <f>IF(F45="Barrido",O45,"")</f>
        <v/>
      </c>
      <c r="R45" s="24">
        <f>IF(I45&lt;&gt;"0",I45,"")</f>
        <v>0</v>
      </c>
      <c r="S45" s="22">
        <f>IF(J45&lt;&gt;"0",J45,"")</f>
        <v>0</v>
      </c>
      <c r="T45" s="23">
        <v>-5.0999999999999996</v>
      </c>
      <c r="U45" s="23">
        <v>-7</v>
      </c>
      <c r="V45" s="23">
        <v>95</v>
      </c>
      <c r="W45" s="23">
        <v>1004.6</v>
      </c>
      <c r="X45" s="23">
        <v>8</v>
      </c>
    </row>
    <row r="46" spans="1:24" x14ac:dyDescent="0.2">
      <c r="A46" s="18">
        <v>45827</v>
      </c>
      <c r="B46" s="19" t="e">
        <f>IF(A46="","",VLOOKUP(Planilla!A46,#REF!,2,FALSE))</f>
        <v>#REF!</v>
      </c>
      <c r="C46" s="19" t="e">
        <f>IF(B46="","",VLOOKUP(Planilla!A46,#REF!,3,FALSE))</f>
        <v>#REF!</v>
      </c>
      <c r="D46" s="20" t="s">
        <v>30</v>
      </c>
      <c r="E46" s="21" t="s">
        <v>43</v>
      </c>
      <c r="F46" s="21" t="s">
        <v>47</v>
      </c>
      <c r="G46" s="21" t="s">
        <v>48</v>
      </c>
      <c r="H46" s="21" t="s">
        <v>49</v>
      </c>
      <c r="I46" s="36"/>
      <c r="J46" s="36"/>
      <c r="K46" s="21" t="s">
        <v>50</v>
      </c>
      <c r="L46" s="21"/>
      <c r="M46" s="24" t="e">
        <f>IF(K46="",0,VLOOKUP(K46,#REF!,2,FALSE))</f>
        <v>#REF!</v>
      </c>
      <c r="N46" s="24">
        <f>IF(L46="",0,VLOOKUP(L46,#REF!,2,FALSE))</f>
        <v>0</v>
      </c>
      <c r="O46" s="24" t="e">
        <f t="shared" si="2"/>
        <v>#REF!</v>
      </c>
      <c r="P46" s="24" t="str">
        <f>IF(F46="Barrido","",O46)</f>
        <v/>
      </c>
      <c r="Q46" s="24" t="e">
        <f>IF(F46="Barrido",O46,"")</f>
        <v>#REF!</v>
      </c>
      <c r="R46" s="24">
        <f>IF(I46&lt;&gt;"0",I46,"")</f>
        <v>0</v>
      </c>
      <c r="S46" s="22">
        <f>IF(J46&lt;&gt;"0",J46,"")</f>
        <v>0</v>
      </c>
      <c r="T46" s="23">
        <v>0.6</v>
      </c>
      <c r="U46" s="23">
        <v>1</v>
      </c>
      <c r="V46" s="23">
        <v>99</v>
      </c>
      <c r="W46" s="23">
        <v>1000.7</v>
      </c>
      <c r="X46" s="23">
        <v>0</v>
      </c>
    </row>
    <row r="47" spans="1:24" x14ac:dyDescent="0.2">
      <c r="A47" s="18">
        <v>45827</v>
      </c>
      <c r="B47" s="19" t="e">
        <f>IF(A47="","",VLOOKUP(Planilla!A47,#REF!,2,FALSE))</f>
        <v>#REF!</v>
      </c>
      <c r="C47" s="19" t="e">
        <f>IF(B47="","",VLOOKUP(Planilla!A47,#REF!,3,FALSE))</f>
        <v>#REF!</v>
      </c>
      <c r="D47" s="20" t="s">
        <v>30</v>
      </c>
      <c r="E47" s="21" t="s">
        <v>43</v>
      </c>
      <c r="F47" s="21" t="s">
        <v>39</v>
      </c>
      <c r="G47" s="21" t="s">
        <v>40</v>
      </c>
      <c r="H47" s="21" t="s">
        <v>41</v>
      </c>
      <c r="I47" s="36"/>
      <c r="J47" s="36"/>
      <c r="K47" s="21" t="s">
        <v>42</v>
      </c>
      <c r="L47" s="21"/>
      <c r="M47" s="24" t="e">
        <f>IF(K47="",0,VLOOKUP(K47,#REF!,2,FALSE))</f>
        <v>#REF!</v>
      </c>
      <c r="N47" s="24">
        <f>IF(L47="",0,VLOOKUP(L47,#REF!,2,FALSE))</f>
        <v>0</v>
      </c>
      <c r="O47" s="24" t="e">
        <f t="shared" si="2"/>
        <v>#REF!</v>
      </c>
      <c r="P47" s="24" t="e">
        <f>IF(F47="Barrido","",O47)</f>
        <v>#REF!</v>
      </c>
      <c r="Q47" s="24" t="str">
        <f>IF(F47="Barrido",O47,"")</f>
        <v/>
      </c>
      <c r="R47" s="24">
        <f>IF(I47&lt;&gt;"0",I47,"")</f>
        <v>0</v>
      </c>
      <c r="S47" s="22">
        <f>IF(J47&lt;&gt;"0",J47,"")</f>
        <v>0</v>
      </c>
      <c r="T47" s="23">
        <v>0</v>
      </c>
      <c r="U47" s="23">
        <v>-2</v>
      </c>
      <c r="V47" s="23">
        <v>99</v>
      </c>
      <c r="W47" s="23">
        <v>1000</v>
      </c>
      <c r="X47" s="23">
        <v>0</v>
      </c>
    </row>
    <row r="48" spans="1:24" x14ac:dyDescent="0.2">
      <c r="A48" s="18">
        <v>45827</v>
      </c>
      <c r="B48" s="19" t="e">
        <f>IF(A48="","",VLOOKUP(Planilla!A48,#REF!,2,FALSE))</f>
        <v>#REF!</v>
      </c>
      <c r="C48" s="19" t="e">
        <f>IF(B48="","",VLOOKUP(Planilla!A48,#REF!,3,FALSE))</f>
        <v>#REF!</v>
      </c>
      <c r="D48" s="20" t="s">
        <v>30</v>
      </c>
      <c r="E48" s="21" t="s">
        <v>43</v>
      </c>
      <c r="F48" s="21" t="s">
        <v>52</v>
      </c>
      <c r="G48" s="21" t="s">
        <v>53</v>
      </c>
      <c r="H48" s="21" t="s">
        <v>54</v>
      </c>
      <c r="I48" s="36"/>
      <c r="J48" s="36">
        <v>2000</v>
      </c>
      <c r="K48" s="21" t="s">
        <v>35</v>
      </c>
      <c r="L48" s="21"/>
      <c r="M48" s="24" t="e">
        <f>IF(K48="",0,VLOOKUP(K48,#REF!,2,FALSE))</f>
        <v>#REF!</v>
      </c>
      <c r="N48" s="24">
        <f>IF(L48="",0,VLOOKUP(L48,#REF!,2,FALSE))</f>
        <v>0</v>
      </c>
      <c r="O48" s="24" t="e">
        <f t="shared" si="2"/>
        <v>#REF!</v>
      </c>
      <c r="P48" s="24" t="e">
        <f>IF(F48="Barrido","",O48)</f>
        <v>#REF!</v>
      </c>
      <c r="Q48" s="24" t="str">
        <f>IF(F48="Barrido",O48,"")</f>
        <v/>
      </c>
      <c r="R48" s="24">
        <f>IF(I48&lt;&gt;"0",I48,"")</f>
        <v>0</v>
      </c>
      <c r="S48" s="22">
        <f>IF(J48&lt;&gt;"0",J48,"")</f>
        <v>2000</v>
      </c>
      <c r="T48" s="23">
        <v>0</v>
      </c>
      <c r="U48" s="23">
        <v>-2</v>
      </c>
      <c r="V48" s="23">
        <v>99</v>
      </c>
      <c r="W48" s="23">
        <v>1000</v>
      </c>
      <c r="X48" s="23">
        <v>0</v>
      </c>
    </row>
    <row r="49" spans="1:24" x14ac:dyDescent="0.2">
      <c r="A49" s="18">
        <v>45827</v>
      </c>
      <c r="B49" s="19" t="e">
        <f>IF(A49="","",VLOOKUP(Planilla!A49,#REF!,2,FALSE))</f>
        <v>#REF!</v>
      </c>
      <c r="C49" s="19" t="e">
        <f>IF(B49="","",VLOOKUP(Planilla!A49,#REF!,3,FALSE))</f>
        <v>#REF!</v>
      </c>
      <c r="D49" s="20" t="s">
        <v>55</v>
      </c>
      <c r="E49" s="21" t="s">
        <v>60</v>
      </c>
      <c r="F49" s="21" t="s">
        <v>52</v>
      </c>
      <c r="G49" s="21" t="s">
        <v>53</v>
      </c>
      <c r="H49" s="21" t="s">
        <v>54</v>
      </c>
      <c r="I49" s="36"/>
      <c r="J49" s="36">
        <v>500</v>
      </c>
      <c r="K49" s="21" t="s">
        <v>38</v>
      </c>
      <c r="L49" s="21" t="s">
        <v>61</v>
      </c>
      <c r="M49" s="24" t="e">
        <f>IF(K49="",0,VLOOKUP(K49,#REF!,2,FALSE))</f>
        <v>#REF!</v>
      </c>
      <c r="N49" s="24" t="e">
        <f>IF(L49="",0,VLOOKUP(L49,#REF!,2,FALSE))</f>
        <v>#REF!</v>
      </c>
      <c r="O49" s="24" t="e">
        <f t="shared" si="2"/>
        <v>#REF!</v>
      </c>
      <c r="P49" s="24" t="e">
        <f>IF(F49="Barrido","",O49)</f>
        <v>#REF!</v>
      </c>
      <c r="Q49" s="24" t="str">
        <f>IF(F49="Barrido",O49,"")</f>
        <v/>
      </c>
      <c r="R49" s="24">
        <f>IF(I49&lt;&gt;"0",I49,"")</f>
        <v>0</v>
      </c>
      <c r="S49" s="22">
        <f>IF(J49&lt;&gt;"0",J49,"")</f>
        <v>500</v>
      </c>
      <c r="T49" s="23">
        <v>2</v>
      </c>
      <c r="U49" s="23">
        <v>1</v>
      </c>
      <c r="V49" s="23">
        <v>99</v>
      </c>
      <c r="W49" s="23">
        <v>995</v>
      </c>
      <c r="X49" s="23">
        <v>0</v>
      </c>
    </row>
    <row r="50" spans="1:24" x14ac:dyDescent="0.2">
      <c r="A50" s="18">
        <v>45827</v>
      </c>
      <c r="B50" s="19" t="e">
        <f>IF(A50="","",VLOOKUP(Planilla!A50,#REF!,2,FALSE))</f>
        <v>#REF!</v>
      </c>
      <c r="C50" s="19" t="e">
        <f>IF(B50="","",VLOOKUP(Planilla!A50,#REF!,3,FALSE))</f>
        <v>#REF!</v>
      </c>
      <c r="D50" s="20" t="s">
        <v>30</v>
      </c>
      <c r="E50" s="21" t="s">
        <v>43</v>
      </c>
      <c r="F50" s="21" t="s">
        <v>47</v>
      </c>
      <c r="G50" s="21" t="s">
        <v>48</v>
      </c>
      <c r="H50" s="21" t="s">
        <v>49</v>
      </c>
      <c r="I50" s="36"/>
      <c r="J50" s="36"/>
      <c r="K50" s="21" t="s">
        <v>50</v>
      </c>
      <c r="L50" s="21"/>
      <c r="M50" s="24" t="e">
        <f>IF(K50="",0,VLOOKUP(K50,#REF!,2,FALSE))</f>
        <v>#REF!</v>
      </c>
      <c r="N50" s="24">
        <f>IF(L50="",0,VLOOKUP(L50,#REF!,2,FALSE))</f>
        <v>0</v>
      </c>
      <c r="O50" s="24" t="e">
        <f t="shared" si="2"/>
        <v>#REF!</v>
      </c>
      <c r="P50" s="24" t="str">
        <f>IF(F50="Barrido","",O50)</f>
        <v/>
      </c>
      <c r="Q50" s="24" t="e">
        <f>IF(F50="Barrido",O50,"")</f>
        <v>#REF!</v>
      </c>
      <c r="R50" s="24">
        <f>IF(I50&lt;&gt;"0",I50,"")</f>
        <v>0</v>
      </c>
      <c r="S50" s="22">
        <f>IF(J50&lt;&gt;"0",J50,"")</f>
        <v>0</v>
      </c>
      <c r="T50" s="23">
        <v>1.9</v>
      </c>
      <c r="U50" s="23">
        <v>1</v>
      </c>
      <c r="V50" s="23">
        <v>93</v>
      </c>
      <c r="W50" s="23">
        <v>998</v>
      </c>
      <c r="X50" s="23">
        <v>13</v>
      </c>
    </row>
    <row r="51" spans="1:24" x14ac:dyDescent="0.2">
      <c r="A51" s="18">
        <v>45828</v>
      </c>
      <c r="B51" s="19" t="e">
        <f>IF(A51="","",VLOOKUP(Planilla!A51,#REF!,2,FALSE))</f>
        <v>#REF!</v>
      </c>
      <c r="C51" s="19" t="e">
        <f>IF(B51="","",VLOOKUP(Planilla!A51,#REF!,3,FALSE))</f>
        <v>#REF!</v>
      </c>
      <c r="D51" s="20" t="s">
        <v>30</v>
      </c>
      <c r="E51" s="21" t="s">
        <v>60</v>
      </c>
      <c r="F51" s="21" t="s">
        <v>52</v>
      </c>
      <c r="G51" s="21" t="s">
        <v>53</v>
      </c>
      <c r="H51" s="21" t="s">
        <v>54</v>
      </c>
      <c r="I51" s="36"/>
      <c r="J51" s="36">
        <v>600</v>
      </c>
      <c r="K51" s="21" t="s">
        <v>37</v>
      </c>
      <c r="L51" s="21"/>
      <c r="M51" s="24" t="e">
        <f>IF(K51="",0,VLOOKUP(K51,#REF!,2,FALSE))</f>
        <v>#REF!</v>
      </c>
      <c r="N51" s="24">
        <f>IF(L51="",0,VLOOKUP(L51,#REF!,2,FALSE))</f>
        <v>0</v>
      </c>
      <c r="O51" s="24" t="e">
        <f t="shared" si="2"/>
        <v>#REF!</v>
      </c>
      <c r="P51" s="24" t="e">
        <f>IF(F51="Barrido","",O51)</f>
        <v>#REF!</v>
      </c>
      <c r="Q51" s="24" t="str">
        <f>IF(F51="Barrido",O51,"")</f>
        <v/>
      </c>
      <c r="R51" s="24">
        <f>IF(I51&lt;&gt;"0",I51,"")</f>
        <v>0</v>
      </c>
      <c r="S51" s="22">
        <f>IF(J51&lt;&gt;"0",J51,"")</f>
        <v>600</v>
      </c>
      <c r="T51" s="23">
        <v>-0.6</v>
      </c>
      <c r="U51" s="23">
        <v>1</v>
      </c>
      <c r="V51" s="23">
        <v>95</v>
      </c>
      <c r="W51" s="23">
        <v>1010.4</v>
      </c>
      <c r="X51" s="23"/>
    </row>
    <row r="52" spans="1:24" x14ac:dyDescent="0.2">
      <c r="A52" s="18">
        <v>45831</v>
      </c>
      <c r="B52" s="19" t="e">
        <f>IF(A52="","",VLOOKUP(Planilla!A52,#REF!,2,FALSE))</f>
        <v>#REF!</v>
      </c>
      <c r="C52" s="19" t="e">
        <f>IF(B52="","",VLOOKUP(Planilla!A52,#REF!,3,FALSE))</f>
        <v>#REF!</v>
      </c>
      <c r="D52" s="20" t="s">
        <v>30</v>
      </c>
      <c r="E52" s="21" t="s">
        <v>36</v>
      </c>
      <c r="F52" s="21" t="s">
        <v>32</v>
      </c>
      <c r="G52" s="21" t="s">
        <v>65</v>
      </c>
      <c r="H52" s="21" t="s">
        <v>34</v>
      </c>
      <c r="I52" s="36">
        <v>1000</v>
      </c>
      <c r="J52" s="36"/>
      <c r="K52" s="21" t="s">
        <v>62</v>
      </c>
      <c r="L52" s="21"/>
      <c r="M52" s="24" t="e">
        <f>IF(K52="",0,VLOOKUP(K52,#REF!,2,FALSE))</f>
        <v>#REF!</v>
      </c>
      <c r="N52" s="24">
        <f>IF(L52="",0,VLOOKUP(L52,#REF!,2,FALSE))</f>
        <v>0</v>
      </c>
      <c r="O52" s="24" t="e">
        <f t="shared" si="2"/>
        <v>#REF!</v>
      </c>
      <c r="P52" s="24" t="e">
        <f>IF(F52="Barrido","",O52)</f>
        <v>#REF!</v>
      </c>
      <c r="Q52" s="24" t="str">
        <f>IF(F52="Barrido",O52,"")</f>
        <v/>
      </c>
      <c r="R52" s="24">
        <f>IF(I52&lt;&gt;"0",I52,"")</f>
        <v>1000</v>
      </c>
      <c r="S52" s="22">
        <f>IF(J52&lt;&gt;"0",J52,"")</f>
        <v>0</v>
      </c>
      <c r="T52" s="23">
        <v>1.5</v>
      </c>
      <c r="U52" s="23">
        <v>1</v>
      </c>
      <c r="V52" s="23">
        <v>95</v>
      </c>
      <c r="W52" s="23">
        <v>997</v>
      </c>
      <c r="X52" s="23">
        <v>41</v>
      </c>
    </row>
    <row r="53" spans="1:24" x14ac:dyDescent="0.2">
      <c r="A53" s="18">
        <v>45831</v>
      </c>
      <c r="B53" s="19" t="e">
        <f>IF(A53="","",VLOOKUP(Planilla!A53,#REF!,2,FALSE))</f>
        <v>#REF!</v>
      </c>
      <c r="C53" s="19" t="e">
        <f>IF(B53="","",VLOOKUP(Planilla!A53,#REF!,3,FALSE))</f>
        <v>#REF!</v>
      </c>
      <c r="D53" s="20" t="s">
        <v>30</v>
      </c>
      <c r="E53" s="21" t="s">
        <v>36</v>
      </c>
      <c r="F53" s="21" t="s">
        <v>32</v>
      </c>
      <c r="G53" s="21" t="s">
        <v>65</v>
      </c>
      <c r="H53" s="21" t="s">
        <v>34</v>
      </c>
      <c r="I53" s="36">
        <v>250</v>
      </c>
      <c r="J53" s="36"/>
      <c r="K53" s="21" t="s">
        <v>66</v>
      </c>
      <c r="L53" s="21"/>
      <c r="M53" s="24" t="e">
        <f>IF(K53="",0,VLOOKUP(K53,#REF!,2,FALSE))</f>
        <v>#REF!</v>
      </c>
      <c r="N53" s="24">
        <f>IF(L53="",0,VLOOKUP(L53,#REF!,2,FALSE))</f>
        <v>0</v>
      </c>
      <c r="O53" s="24" t="e">
        <f t="shared" si="2"/>
        <v>#REF!</v>
      </c>
      <c r="P53" s="24" t="e">
        <f>IF(F53="Barrido","",O53)</f>
        <v>#REF!</v>
      </c>
      <c r="Q53" s="24" t="str">
        <f>IF(F53="Barrido",O53,"")</f>
        <v/>
      </c>
      <c r="R53" s="24">
        <f>IF(I53&lt;&gt;"0",I53,"")</f>
        <v>250</v>
      </c>
      <c r="S53" s="22">
        <f>IF(J53&lt;&gt;"0",J53,"")</f>
        <v>0</v>
      </c>
      <c r="T53" s="23">
        <v>1.5</v>
      </c>
      <c r="U53" s="23">
        <v>1</v>
      </c>
      <c r="V53" s="23">
        <v>95</v>
      </c>
      <c r="W53" s="23">
        <v>997</v>
      </c>
      <c r="X53" s="23">
        <v>41</v>
      </c>
    </row>
    <row r="54" spans="1:24" x14ac:dyDescent="0.2">
      <c r="A54" s="18">
        <v>45832</v>
      </c>
      <c r="B54" s="19" t="e">
        <f>IF(A54="","",VLOOKUP(Planilla!A54,#REF!,2,FALSE))</f>
        <v>#REF!</v>
      </c>
      <c r="C54" s="19" t="e">
        <f>IF(B54="","",VLOOKUP(Planilla!A54,#REF!,3,FALSE))</f>
        <v>#REF!</v>
      </c>
      <c r="D54" s="20" t="s">
        <v>30</v>
      </c>
      <c r="E54" s="21" t="s">
        <v>60</v>
      </c>
      <c r="F54" s="21" t="s">
        <v>32</v>
      </c>
      <c r="G54" s="21" t="s">
        <v>57</v>
      </c>
      <c r="H54" s="21" t="s">
        <v>61</v>
      </c>
      <c r="I54" s="36">
        <v>10</v>
      </c>
      <c r="J54" s="36"/>
      <c r="K54" s="21" t="s">
        <v>50</v>
      </c>
      <c r="L54" s="21" t="s">
        <v>61</v>
      </c>
      <c r="M54" s="24" t="e">
        <f>IF(K54="",0,VLOOKUP(K54,#REF!,2,FALSE))</f>
        <v>#REF!</v>
      </c>
      <c r="N54" s="24" t="e">
        <f>IF(L54="",0,VLOOKUP(L54,#REF!,2,FALSE))</f>
        <v>#REF!</v>
      </c>
      <c r="O54" s="24" t="e">
        <f t="shared" si="2"/>
        <v>#REF!</v>
      </c>
      <c r="P54" s="24" t="e">
        <f>IF(F54="Barrido","",O54)</f>
        <v>#REF!</v>
      </c>
      <c r="Q54" s="24" t="str">
        <f>IF(F54="Barrido",O54,"")</f>
        <v/>
      </c>
      <c r="R54" s="24">
        <f>IF(I54&lt;&gt;"0",I54,"")</f>
        <v>10</v>
      </c>
      <c r="S54" s="22">
        <f>IF(J54&lt;&gt;"0",J54,"")</f>
        <v>0</v>
      </c>
      <c r="T54" s="23">
        <v>0</v>
      </c>
      <c r="U54" s="23">
        <v>-2</v>
      </c>
      <c r="V54" s="23">
        <v>86</v>
      </c>
      <c r="W54" s="23">
        <v>987.4</v>
      </c>
      <c r="X54" s="23">
        <v>21</v>
      </c>
    </row>
    <row r="55" spans="1:24" x14ac:dyDescent="0.2">
      <c r="A55" s="18">
        <v>45832</v>
      </c>
      <c r="B55" s="19" t="e">
        <f>IF(A55="","",VLOOKUP(Planilla!A55,#REF!,2,FALSE))</f>
        <v>#REF!</v>
      </c>
      <c r="C55" s="19" t="e">
        <f>IF(B55="","",VLOOKUP(Planilla!A55,#REF!,3,FALSE))</f>
        <v>#REF!</v>
      </c>
      <c r="D55" s="20" t="s">
        <v>30</v>
      </c>
      <c r="E55" s="21" t="s">
        <v>51</v>
      </c>
      <c r="F55" s="21" t="s">
        <v>52</v>
      </c>
      <c r="G55" s="21" t="s">
        <v>65</v>
      </c>
      <c r="H55" s="21" t="s">
        <v>54</v>
      </c>
      <c r="I55" s="36"/>
      <c r="J55" s="36">
        <v>1400</v>
      </c>
      <c r="K55" s="21" t="s">
        <v>37</v>
      </c>
      <c r="L55" s="21"/>
      <c r="M55" s="24" t="e">
        <f>IF(K55="",0,VLOOKUP(K55,#REF!,2,FALSE))</f>
        <v>#REF!</v>
      </c>
      <c r="N55" s="24">
        <f>IF(L55="",0,VLOOKUP(L55,#REF!,2,FALSE))</f>
        <v>0</v>
      </c>
      <c r="O55" s="24" t="e">
        <f t="shared" si="2"/>
        <v>#REF!</v>
      </c>
      <c r="P55" s="24" t="e">
        <f>IF(F55="Barrido","",O55)</f>
        <v>#REF!</v>
      </c>
      <c r="Q55" s="24" t="str">
        <f>IF(F55="Barrido",O55,"")</f>
        <v/>
      </c>
      <c r="R55" s="24">
        <f>IF(I55&lt;&gt;"0",I55,"")</f>
        <v>0</v>
      </c>
      <c r="S55" s="22">
        <f>IF(J55&lt;&gt;"0",J55,"")</f>
        <v>1400</v>
      </c>
      <c r="T55" s="23">
        <v>-1.7</v>
      </c>
      <c r="U55" s="23">
        <v>-3</v>
      </c>
      <c r="V55" s="23">
        <v>88</v>
      </c>
      <c r="W55" s="23">
        <v>987.4</v>
      </c>
      <c r="X55" s="23">
        <v>17</v>
      </c>
    </row>
    <row r="56" spans="1:24" x14ac:dyDescent="0.2">
      <c r="A56" s="18">
        <v>45832</v>
      </c>
      <c r="B56" s="19" t="e">
        <f>IF(A56="","",VLOOKUP(Planilla!A56,#REF!,2,FALSE))</f>
        <v>#REF!</v>
      </c>
      <c r="C56" s="19" t="e">
        <f>IF(B56="","",VLOOKUP(Planilla!A56,#REF!,3,FALSE))</f>
        <v>#REF!</v>
      </c>
      <c r="D56" s="20" t="s">
        <v>30</v>
      </c>
      <c r="E56" s="21" t="s">
        <v>43</v>
      </c>
      <c r="F56" s="21" t="s">
        <v>39</v>
      </c>
      <c r="G56" s="21" t="s">
        <v>40</v>
      </c>
      <c r="H56" s="21" t="s">
        <v>41</v>
      </c>
      <c r="I56" s="36"/>
      <c r="J56" s="36"/>
      <c r="K56" s="21" t="s">
        <v>42</v>
      </c>
      <c r="L56" s="21"/>
      <c r="M56" s="24" t="e">
        <f>IF(K56="",0,VLOOKUP(K56,#REF!,2,FALSE))</f>
        <v>#REF!</v>
      </c>
      <c r="N56" s="24">
        <f>IF(L56="",0,VLOOKUP(L56,#REF!,2,FALSE))</f>
        <v>0</v>
      </c>
      <c r="O56" s="24" t="e">
        <f t="shared" si="2"/>
        <v>#REF!</v>
      </c>
      <c r="P56" s="24" t="e">
        <f>IF(F56="Barrido","",O56)</f>
        <v>#REF!</v>
      </c>
      <c r="Q56" s="24" t="str">
        <f>IF(F56="Barrido",O56,"")</f>
        <v/>
      </c>
      <c r="R56" s="24">
        <f>IF(I56&lt;&gt;"0",I56,"")</f>
        <v>0</v>
      </c>
      <c r="S56" s="22">
        <f>IF(J56&lt;&gt;"0",J56,"")</f>
        <v>0</v>
      </c>
      <c r="T56" s="23">
        <v>-1.8</v>
      </c>
      <c r="U56" s="23">
        <v>-3</v>
      </c>
      <c r="V56" s="23">
        <v>91</v>
      </c>
      <c r="W56" s="23">
        <v>994.2</v>
      </c>
      <c r="X56" s="23">
        <v>12.2</v>
      </c>
    </row>
    <row r="57" spans="1:24" x14ac:dyDescent="0.2">
      <c r="A57" s="18"/>
      <c r="B57" s="19"/>
      <c r="C57" s="19"/>
      <c r="D57" s="20"/>
      <c r="E57" s="21"/>
      <c r="F57" s="21"/>
      <c r="G57" s="21"/>
      <c r="H57" s="21"/>
      <c r="I57" s="36"/>
      <c r="J57" s="36"/>
      <c r="K57" s="21"/>
      <c r="L57" s="21"/>
      <c r="M57" s="24"/>
      <c r="N57" s="24"/>
      <c r="O57" s="24"/>
      <c r="P57" s="24"/>
      <c r="Q57" s="24"/>
      <c r="R57" s="24"/>
      <c r="S57" s="22"/>
      <c r="T57" s="23"/>
      <c r="U57" s="23"/>
      <c r="V57" s="23"/>
      <c r="W57" s="23"/>
      <c r="X57" s="23"/>
    </row>
    <row r="58" spans="1:24" x14ac:dyDescent="0.2">
      <c r="A58" s="18">
        <v>45833</v>
      </c>
      <c r="B58" s="19" t="e">
        <f>IF(A58="","",VLOOKUP(Planilla!A58,#REF!,2,FALSE))</f>
        <v>#REF!</v>
      </c>
      <c r="C58" s="19" t="e">
        <f>IF(B58="","",VLOOKUP(Planilla!A58,#REF!,3,FALSE))</f>
        <v>#REF!</v>
      </c>
      <c r="D58" s="20" t="s">
        <v>55</v>
      </c>
      <c r="E58" s="21" t="s">
        <v>36</v>
      </c>
      <c r="F58" s="21" t="s">
        <v>32</v>
      </c>
      <c r="G58" s="21" t="s">
        <v>65</v>
      </c>
      <c r="H58" s="21" t="s">
        <v>34</v>
      </c>
      <c r="I58" s="36">
        <v>1550</v>
      </c>
      <c r="J58" s="36"/>
      <c r="K58" s="21" t="s">
        <v>35</v>
      </c>
      <c r="L58" s="21"/>
      <c r="M58" s="24" t="e">
        <f>IF(K58="",0,VLOOKUP(K58,#REF!,2,FALSE))</f>
        <v>#REF!</v>
      </c>
      <c r="N58" s="24">
        <f>IF(L58="",0,VLOOKUP(L58,#REF!,2,FALSE))</f>
        <v>0</v>
      </c>
      <c r="O58" s="24" t="e">
        <f t="shared" si="2"/>
        <v>#REF!</v>
      </c>
      <c r="P58" s="24" t="e">
        <f>IF(F58="Barrido","",O58)</f>
        <v>#REF!</v>
      </c>
      <c r="Q58" s="24" t="str">
        <f>IF(F58="Barrido",O58,"")</f>
        <v/>
      </c>
      <c r="R58" s="24">
        <f>IF(I58&lt;&gt;"0",I58,"")</f>
        <v>1550</v>
      </c>
      <c r="S58" s="22">
        <f>IF(J58&lt;&gt;"0",J58,"")</f>
        <v>0</v>
      </c>
      <c r="T58" s="23">
        <v>2</v>
      </c>
      <c r="U58" s="23">
        <v>-2</v>
      </c>
      <c r="V58" s="23">
        <v>84</v>
      </c>
      <c r="W58" s="23">
        <v>991.6</v>
      </c>
      <c r="X58" s="23"/>
    </row>
    <row r="59" spans="1:24" x14ac:dyDescent="0.2">
      <c r="A59" s="18">
        <v>45833</v>
      </c>
      <c r="B59" s="19" t="e">
        <f>IF(A59="","",VLOOKUP(Planilla!A59,#REF!,2,FALSE))</f>
        <v>#REF!</v>
      </c>
      <c r="C59" s="19" t="e">
        <f>IF(B59="","",VLOOKUP(Planilla!A59,#REF!,3,FALSE))</f>
        <v>#REF!</v>
      </c>
      <c r="D59" s="20" t="s">
        <v>55</v>
      </c>
      <c r="E59" s="21" t="s">
        <v>43</v>
      </c>
      <c r="F59" s="21" t="s">
        <v>32</v>
      </c>
      <c r="G59" s="21" t="s">
        <v>65</v>
      </c>
      <c r="H59" s="21" t="s">
        <v>34</v>
      </c>
      <c r="I59" s="36">
        <v>500</v>
      </c>
      <c r="J59" s="36"/>
      <c r="K59" s="21" t="s">
        <v>35</v>
      </c>
      <c r="L59" s="21"/>
      <c r="M59" s="24" t="e">
        <f>IF(K59="",0,VLOOKUP(K59,#REF!,2,FALSE))</f>
        <v>#REF!</v>
      </c>
      <c r="N59" s="24">
        <f>IF(L59="",0,VLOOKUP(L59,#REF!,2,FALSE))</f>
        <v>0</v>
      </c>
      <c r="O59" s="24" t="e">
        <f t="shared" si="2"/>
        <v>#REF!</v>
      </c>
      <c r="P59" s="24" t="e">
        <f>IF(F59="Barrido","",O59)</f>
        <v>#REF!</v>
      </c>
      <c r="Q59" s="24" t="str">
        <f>IF(F59="Barrido",O59,"")</f>
        <v/>
      </c>
      <c r="R59" s="24">
        <f>IF(I59&lt;&gt;"0",I59,"")</f>
        <v>500</v>
      </c>
      <c r="S59" s="22">
        <f>IF(J59&lt;&gt;"0",J59,"")</f>
        <v>0</v>
      </c>
      <c r="T59" s="23">
        <v>-1.3</v>
      </c>
      <c r="U59" s="23">
        <v>3</v>
      </c>
      <c r="V59" s="23">
        <v>78</v>
      </c>
      <c r="W59" s="23">
        <v>995.6</v>
      </c>
      <c r="X59" s="23">
        <v>9.6999999999999993</v>
      </c>
    </row>
    <row r="60" spans="1:24" x14ac:dyDescent="0.2">
      <c r="A60" s="18">
        <v>45833</v>
      </c>
      <c r="B60" s="19" t="e">
        <f>IF(A60="","",VLOOKUP(Planilla!A60,#REF!,2,FALSE))</f>
        <v>#REF!</v>
      </c>
      <c r="C60" s="19" t="e">
        <f>IF(B60="","",VLOOKUP(Planilla!A60,#REF!,3,FALSE))</f>
        <v>#REF!</v>
      </c>
      <c r="D60" s="20" t="s">
        <v>55</v>
      </c>
      <c r="E60" s="21" t="s">
        <v>36</v>
      </c>
      <c r="F60" s="21" t="s">
        <v>67</v>
      </c>
      <c r="G60" s="21" t="s">
        <v>53</v>
      </c>
      <c r="H60" s="21" t="s">
        <v>68</v>
      </c>
      <c r="I60" s="36"/>
      <c r="J60" s="36"/>
      <c r="K60" s="21" t="s">
        <v>35</v>
      </c>
      <c r="L60" s="21"/>
      <c r="M60" s="24" t="e">
        <f>IF(K60="",0,VLOOKUP(K60,#REF!,2,FALSE))</f>
        <v>#REF!</v>
      </c>
      <c r="N60" s="24">
        <f>IF(L60="",0,VLOOKUP(L60,#REF!,2,FALSE))</f>
        <v>0</v>
      </c>
      <c r="O60" s="24" t="e">
        <f t="shared" si="2"/>
        <v>#REF!</v>
      </c>
      <c r="P60" s="24" t="e">
        <f>IF(F60="Barrido","",O60)</f>
        <v>#REF!</v>
      </c>
      <c r="Q60" s="24" t="str">
        <f>IF(F60="Barrido",O60,"")</f>
        <v/>
      </c>
      <c r="R60" s="24">
        <f>IF(I60&lt;&gt;"0",I60,"")</f>
        <v>0</v>
      </c>
      <c r="S60" s="22">
        <f>IF(J60&lt;&gt;"0",J60,"")</f>
        <v>0</v>
      </c>
      <c r="T60" s="23">
        <v>-1</v>
      </c>
      <c r="U60" s="23">
        <v>-3</v>
      </c>
      <c r="V60" s="23">
        <v>77</v>
      </c>
      <c r="W60" s="23">
        <v>994</v>
      </c>
      <c r="X60" s="23">
        <v>11.2</v>
      </c>
    </row>
    <row r="61" spans="1:24" x14ac:dyDescent="0.2">
      <c r="A61" s="18">
        <v>45833</v>
      </c>
      <c r="B61" s="19" t="e">
        <f>IF(A61="","",VLOOKUP(Planilla!A61,#REF!,2,FALSE))</f>
        <v>#REF!</v>
      </c>
      <c r="C61" s="19" t="e">
        <f>IF(B61="","",VLOOKUP(Planilla!A61,#REF!,3,FALSE))</f>
        <v>#REF!</v>
      </c>
      <c r="D61" s="20" t="s">
        <v>30</v>
      </c>
      <c r="E61" s="21" t="s">
        <v>43</v>
      </c>
      <c r="F61" s="21" t="s">
        <v>32</v>
      </c>
      <c r="G61" s="21" t="s">
        <v>65</v>
      </c>
      <c r="H61" s="21" t="s">
        <v>34</v>
      </c>
      <c r="I61" s="36">
        <v>550</v>
      </c>
      <c r="J61" s="36"/>
      <c r="K61" s="21" t="s">
        <v>35</v>
      </c>
      <c r="L61" s="21" t="s">
        <v>59</v>
      </c>
      <c r="M61" s="24" t="e">
        <f>IF(K61="",0,VLOOKUP(K61,#REF!,2,FALSE))</f>
        <v>#REF!</v>
      </c>
      <c r="N61" s="24" t="e">
        <f>IF(L61="",0,VLOOKUP(L61,#REF!,2,FALSE))</f>
        <v>#REF!</v>
      </c>
      <c r="O61" s="24" t="e">
        <f t="shared" si="2"/>
        <v>#REF!</v>
      </c>
      <c r="P61" s="24" t="e">
        <f>IF(F61="Barrido","",O61)</f>
        <v>#REF!</v>
      </c>
      <c r="Q61" s="24" t="str">
        <f>IF(F61="Barrido",O61,"")</f>
        <v/>
      </c>
      <c r="R61" s="24">
        <f>IF(I61&lt;&gt;"0",I61,"")</f>
        <v>550</v>
      </c>
      <c r="S61" s="22">
        <f>IF(J61&lt;&gt;"0",J61,"")</f>
        <v>0</v>
      </c>
      <c r="T61" s="23">
        <v>-1</v>
      </c>
      <c r="U61" s="23">
        <v>-3</v>
      </c>
      <c r="V61" s="23">
        <v>78</v>
      </c>
      <c r="W61" s="23">
        <v>995.3</v>
      </c>
      <c r="X61" s="23">
        <v>12</v>
      </c>
    </row>
    <row r="62" spans="1:24" x14ac:dyDescent="0.2">
      <c r="A62" s="18">
        <v>45833</v>
      </c>
      <c r="B62" s="19" t="e">
        <f>IF(A62="","",VLOOKUP(Planilla!A62,#REF!,2,FALSE))</f>
        <v>#REF!</v>
      </c>
      <c r="C62" s="19" t="e">
        <f>IF(B62="","",VLOOKUP(Planilla!A62,#REF!,3,FALSE))</f>
        <v>#REF!</v>
      </c>
      <c r="D62" s="20" t="s">
        <v>30</v>
      </c>
      <c r="E62" s="21" t="s">
        <v>43</v>
      </c>
      <c r="F62" s="21" t="s">
        <v>39</v>
      </c>
      <c r="G62" s="21" t="s">
        <v>40</v>
      </c>
      <c r="H62" s="21" t="s">
        <v>41</v>
      </c>
      <c r="I62" s="36"/>
      <c r="J62" s="36"/>
      <c r="K62" s="21" t="s">
        <v>42</v>
      </c>
      <c r="L62" s="21"/>
      <c r="M62" s="24" t="e">
        <f>IF(K62="",0,VLOOKUP(K62,#REF!,2,FALSE))</f>
        <v>#REF!</v>
      </c>
      <c r="N62" s="24">
        <f>IF(L62="",0,VLOOKUP(L62,#REF!,2,FALSE))</f>
        <v>0</v>
      </c>
      <c r="O62" s="24" t="e">
        <f t="shared" si="2"/>
        <v>#REF!</v>
      </c>
      <c r="P62" s="24" t="e">
        <f>IF(F62="Barrido","",O62)</f>
        <v>#REF!</v>
      </c>
      <c r="Q62" s="24" t="str">
        <f>IF(F62="Barrido",O62,"")</f>
        <v/>
      </c>
      <c r="R62" s="24">
        <f>IF(I62&lt;&gt;"0",I62,"")</f>
        <v>0</v>
      </c>
      <c r="S62" s="22">
        <f>IF(J62&lt;&gt;"0",J62,"")</f>
        <v>0</v>
      </c>
      <c r="T62" s="23">
        <v>-0.9</v>
      </c>
      <c r="U62" s="23">
        <v>-2</v>
      </c>
      <c r="V62" s="23">
        <v>78</v>
      </c>
      <c r="W62" s="23">
        <v>993.5</v>
      </c>
      <c r="X62" s="23">
        <v>9.6999999999999993</v>
      </c>
    </row>
    <row r="63" spans="1:24" x14ac:dyDescent="0.2">
      <c r="A63" s="18">
        <v>45833</v>
      </c>
      <c r="B63" s="19" t="e">
        <f>IF(A63="","",VLOOKUP(Planilla!A63,#REF!,2,FALSE))</f>
        <v>#REF!</v>
      </c>
      <c r="C63" s="19" t="e">
        <f>IF(B63="","",VLOOKUP(Planilla!A63,#REF!,3,FALSE))</f>
        <v>#REF!</v>
      </c>
      <c r="D63" s="20" t="s">
        <v>55</v>
      </c>
      <c r="E63" s="21" t="s">
        <v>36</v>
      </c>
      <c r="F63" s="21" t="s">
        <v>47</v>
      </c>
      <c r="G63" s="21" t="s">
        <v>48</v>
      </c>
      <c r="H63" s="21" t="s">
        <v>69</v>
      </c>
      <c r="I63" s="36"/>
      <c r="J63" s="36"/>
      <c r="K63" s="21" t="s">
        <v>35</v>
      </c>
      <c r="L63" s="21" t="s">
        <v>38</v>
      </c>
      <c r="M63" s="24" t="e">
        <f>IF(K63="",0,VLOOKUP(K63,#REF!,2,FALSE))</f>
        <v>#REF!</v>
      </c>
      <c r="N63" s="24" t="e">
        <f>IF(L63="",0,VLOOKUP(L63,#REF!,2,FALSE))</f>
        <v>#REF!</v>
      </c>
      <c r="O63" s="24" t="e">
        <f t="shared" si="2"/>
        <v>#REF!</v>
      </c>
      <c r="P63" s="24" t="str">
        <f>IF(F63="Barrido","",O63)</f>
        <v/>
      </c>
      <c r="Q63" s="24" t="e">
        <f>IF(F63="Barrido",O63,"")</f>
        <v>#REF!</v>
      </c>
      <c r="R63" s="24">
        <f>IF(I63&lt;&gt;"0",I63,"")</f>
        <v>0</v>
      </c>
      <c r="S63" s="22">
        <f>IF(J63&lt;&gt;"0",J63,"")</f>
        <v>0</v>
      </c>
      <c r="T63" s="23">
        <v>2</v>
      </c>
      <c r="U63" s="23">
        <v>-3</v>
      </c>
      <c r="V63" s="23">
        <v>78</v>
      </c>
      <c r="W63" s="23">
        <v>995</v>
      </c>
      <c r="X63" s="23">
        <v>6</v>
      </c>
    </row>
    <row r="64" spans="1:24" x14ac:dyDescent="0.2">
      <c r="A64" s="18">
        <v>45834</v>
      </c>
      <c r="B64" s="19" t="e">
        <f>IF(A64="","",VLOOKUP(Planilla!A64,#REF!,2,FALSE))</f>
        <v>#REF!</v>
      </c>
      <c r="C64" s="19" t="e">
        <f>IF(B64="","",VLOOKUP(Planilla!A64,#REF!,3,FALSE))</f>
        <v>#REF!</v>
      </c>
      <c r="D64" s="20" t="s">
        <v>30</v>
      </c>
      <c r="E64" s="21" t="s">
        <v>60</v>
      </c>
      <c r="F64" s="21" t="s">
        <v>39</v>
      </c>
      <c r="G64" s="21" t="s">
        <v>40</v>
      </c>
      <c r="H64" s="21" t="s">
        <v>41</v>
      </c>
      <c r="I64" s="36"/>
      <c r="J64" s="36"/>
      <c r="K64" s="21" t="s">
        <v>42</v>
      </c>
      <c r="L64" s="21"/>
      <c r="M64" s="24" t="e">
        <f>IF(K64="",0,VLOOKUP(K64,#REF!,2,FALSE))</f>
        <v>#REF!</v>
      </c>
      <c r="N64" s="24">
        <f>IF(L64="",0,VLOOKUP(L64,#REF!,2,FALSE))</f>
        <v>0</v>
      </c>
      <c r="O64" s="24" t="e">
        <f t="shared" si="2"/>
        <v>#REF!</v>
      </c>
      <c r="P64" s="24" t="e">
        <f>IF(F64="Barrido","",O64)</f>
        <v>#REF!</v>
      </c>
      <c r="Q64" s="24" t="str">
        <f>IF(F64="Barrido",O64,"")</f>
        <v/>
      </c>
      <c r="R64" s="24">
        <f>IF(I64&lt;&gt;"0",I64,"")</f>
        <v>0</v>
      </c>
      <c r="S64" s="22">
        <f>IF(J64&lt;&gt;"0",J64,"")</f>
        <v>0</v>
      </c>
      <c r="T64" s="23">
        <v>-5</v>
      </c>
      <c r="U64" s="23">
        <v>-7</v>
      </c>
      <c r="V64" s="23">
        <v>86</v>
      </c>
      <c r="W64" s="23">
        <v>995</v>
      </c>
      <c r="X64" s="23">
        <v>8</v>
      </c>
    </row>
    <row r="65" spans="1:24" x14ac:dyDescent="0.2">
      <c r="A65" s="18">
        <v>45834</v>
      </c>
      <c r="B65" s="19" t="e">
        <f>IF(A65="","",VLOOKUP(Planilla!A65,#REF!,2,FALSE))</f>
        <v>#REF!</v>
      </c>
      <c r="C65" s="19" t="e">
        <f>IF(B65="","",VLOOKUP(Planilla!A65,#REF!,3,FALSE))</f>
        <v>#REF!</v>
      </c>
      <c r="D65" s="20" t="s">
        <v>30</v>
      </c>
      <c r="E65" s="21" t="s">
        <v>36</v>
      </c>
      <c r="F65" s="21" t="s">
        <v>39</v>
      </c>
      <c r="G65" s="21" t="s">
        <v>40</v>
      </c>
      <c r="H65" s="21" t="s">
        <v>41</v>
      </c>
      <c r="I65" s="36"/>
      <c r="J65" s="36"/>
      <c r="K65" s="21" t="s">
        <v>42</v>
      </c>
      <c r="L65" s="21"/>
      <c r="M65" s="24" t="e">
        <f>IF(K65="",0,VLOOKUP(K65,#REF!,2,FALSE))</f>
        <v>#REF!</v>
      </c>
      <c r="N65" s="24">
        <f>IF(L65="",0,VLOOKUP(L65,#REF!,2,FALSE))</f>
        <v>0</v>
      </c>
      <c r="O65" s="24" t="e">
        <f t="shared" si="2"/>
        <v>#REF!</v>
      </c>
      <c r="P65" s="24" t="e">
        <f>IF(F65="Barrido","",O65)</f>
        <v>#REF!</v>
      </c>
      <c r="Q65" s="24" t="str">
        <f>IF(F65="Barrido",O65,"")</f>
        <v/>
      </c>
      <c r="R65" s="24">
        <f>IF(I65&lt;&gt;"0",I65,"")</f>
        <v>0</v>
      </c>
      <c r="S65" s="22">
        <f>IF(J65&lt;&gt;"0",J65,"")</f>
        <v>0</v>
      </c>
      <c r="T65" s="23">
        <v>-6</v>
      </c>
      <c r="U65" s="23">
        <v>-8</v>
      </c>
      <c r="V65" s="23">
        <v>86</v>
      </c>
      <c r="W65" s="23">
        <v>1002</v>
      </c>
      <c r="X65" s="23">
        <v>7</v>
      </c>
    </row>
    <row r="66" spans="1:24" x14ac:dyDescent="0.2">
      <c r="A66" s="18">
        <v>45834</v>
      </c>
      <c r="B66" s="19" t="e">
        <f>IF(A66="","",VLOOKUP(Planilla!A66,#REF!,2,FALSE))</f>
        <v>#REF!</v>
      </c>
      <c r="C66" s="19" t="e">
        <f>IF(B66="","",VLOOKUP(Planilla!A66,#REF!,3,FALSE))</f>
        <v>#REF!</v>
      </c>
      <c r="D66" s="20" t="s">
        <v>55</v>
      </c>
      <c r="E66" s="21" t="s">
        <v>36</v>
      </c>
      <c r="F66" s="21" t="s">
        <v>67</v>
      </c>
      <c r="G66" s="21" t="s">
        <v>53</v>
      </c>
      <c r="H66" s="21" t="s">
        <v>68</v>
      </c>
      <c r="I66" s="36"/>
      <c r="J66" s="36"/>
      <c r="K66" s="21" t="s">
        <v>62</v>
      </c>
      <c r="L66" s="21"/>
      <c r="M66" s="24" t="e">
        <f>IF(K66="",0,VLOOKUP(K66,#REF!,2,FALSE))</f>
        <v>#REF!</v>
      </c>
      <c r="N66" s="24">
        <f>IF(L66="",0,VLOOKUP(L66,#REF!,2,FALSE))</f>
        <v>0</v>
      </c>
      <c r="O66" s="24" t="e">
        <f t="shared" ref="O66:O68" si="3">M66+N66</f>
        <v>#REF!</v>
      </c>
      <c r="P66" s="24" t="e">
        <f>IF(F66="Barrido","",O66)</f>
        <v>#REF!</v>
      </c>
      <c r="Q66" s="24" t="str">
        <f>IF(F66="Barrido",O66,"")</f>
        <v/>
      </c>
      <c r="R66" s="24">
        <f>IF(I66&lt;&gt;"0",I66,"")</f>
        <v>0</v>
      </c>
      <c r="S66" s="22">
        <f>IF(J66&lt;&gt;"0",J66,"")</f>
        <v>0</v>
      </c>
      <c r="T66" s="23">
        <v>-4</v>
      </c>
      <c r="U66" s="23">
        <v>-6</v>
      </c>
      <c r="V66" s="23">
        <v>70</v>
      </c>
      <c r="W66" s="23">
        <v>1010</v>
      </c>
      <c r="X66" s="23">
        <v>9</v>
      </c>
    </row>
    <row r="67" spans="1:24" x14ac:dyDescent="0.2">
      <c r="A67" s="18">
        <v>45834</v>
      </c>
      <c r="B67" s="19" t="e">
        <f>IF(A67="","",VLOOKUP(Planilla!A67,#REF!,2,FALSE))</f>
        <v>#REF!</v>
      </c>
      <c r="C67" s="19" t="e">
        <f>IF(B67="","",VLOOKUP(Planilla!A67,#REF!,3,FALSE))</f>
        <v>#REF!</v>
      </c>
      <c r="D67" s="20" t="s">
        <v>55</v>
      </c>
      <c r="E67" s="21" t="s">
        <v>36</v>
      </c>
      <c r="F67" s="21" t="s">
        <v>47</v>
      </c>
      <c r="G67" s="21" t="s">
        <v>48</v>
      </c>
      <c r="H67" s="21" t="s">
        <v>49</v>
      </c>
      <c r="I67" s="36"/>
      <c r="J67" s="36"/>
      <c r="K67" s="21" t="s">
        <v>62</v>
      </c>
      <c r="L67" s="21"/>
      <c r="M67" s="24" t="e">
        <f>IF(K67="",0,VLOOKUP(K67,#REF!,2,FALSE))</f>
        <v>#REF!</v>
      </c>
      <c r="N67" s="24">
        <f>IF(L67="",0,VLOOKUP(L67,#REF!,2,FALSE))</f>
        <v>0</v>
      </c>
      <c r="O67" s="24" t="e">
        <f t="shared" si="3"/>
        <v>#REF!</v>
      </c>
      <c r="P67" s="24" t="str">
        <f>IF(F67="Barrido","",O67)</f>
        <v/>
      </c>
      <c r="Q67" s="24" t="e">
        <f>IF(F67="Barrido",O67,"")</f>
        <v>#REF!</v>
      </c>
      <c r="R67" s="24">
        <f>IF(I67&lt;&gt;"0",I67,"")</f>
        <v>0</v>
      </c>
      <c r="S67" s="22">
        <f>IF(J67&lt;&gt;"0",J67,"")</f>
        <v>0</v>
      </c>
      <c r="T67" s="23">
        <v>-4</v>
      </c>
      <c r="U67" s="23">
        <v>-6</v>
      </c>
      <c r="V67" s="23">
        <v>71</v>
      </c>
      <c r="W67" s="23">
        <v>1014</v>
      </c>
      <c r="X67" s="23">
        <v>10</v>
      </c>
    </row>
    <row r="68" spans="1:24" x14ac:dyDescent="0.2">
      <c r="A68" s="18">
        <v>45834</v>
      </c>
      <c r="B68" s="19" t="e">
        <f>IF(A68="","",VLOOKUP(Planilla!A68,#REF!,2,FALSE))</f>
        <v>#REF!</v>
      </c>
      <c r="C68" s="19" t="e">
        <f>IF(B68="","",VLOOKUP(Planilla!A68,#REF!,3,FALSE))</f>
        <v>#REF!</v>
      </c>
      <c r="D68" s="20" t="s">
        <v>30</v>
      </c>
      <c r="E68" s="21" t="s">
        <v>43</v>
      </c>
      <c r="F68" s="21" t="s">
        <v>32</v>
      </c>
      <c r="G68" s="21" t="s">
        <v>65</v>
      </c>
      <c r="H68" s="21" t="s">
        <v>34</v>
      </c>
      <c r="I68" s="36">
        <v>250</v>
      </c>
      <c r="J68" s="36"/>
      <c r="K68" s="21" t="s">
        <v>62</v>
      </c>
      <c r="L68" s="21"/>
      <c r="M68" s="24" t="e">
        <f>IF(K68="",0,VLOOKUP(K68,#REF!,2,FALSE))</f>
        <v>#REF!</v>
      </c>
      <c r="N68" s="24">
        <f>IF(L68="",0,VLOOKUP(L68,#REF!,2,FALSE))</f>
        <v>0</v>
      </c>
      <c r="O68" s="24" t="e">
        <f t="shared" si="3"/>
        <v>#REF!</v>
      </c>
      <c r="P68" s="24" t="e">
        <f>IF(F68="Barrido","",O68)</f>
        <v>#REF!</v>
      </c>
      <c r="Q68" s="24" t="str">
        <f>IF(F68="Barrido",O68,"")</f>
        <v/>
      </c>
      <c r="R68" s="24">
        <f>IF(I68&lt;&gt;"0",I68,"")</f>
        <v>250</v>
      </c>
      <c r="S68" s="22">
        <f>IF(J68&lt;&gt;"0",J68,"")</f>
        <v>0</v>
      </c>
      <c r="T68" s="23">
        <v>-2</v>
      </c>
      <c r="U68" s="23">
        <v>-4</v>
      </c>
      <c r="V68" s="23">
        <v>72</v>
      </c>
      <c r="W68" s="23">
        <v>1014</v>
      </c>
      <c r="X68" s="23">
        <v>10</v>
      </c>
    </row>
    <row r="69" spans="1:24" x14ac:dyDescent="0.2">
      <c r="A69" s="18">
        <v>45834</v>
      </c>
      <c r="B69" s="19"/>
      <c r="C69" s="19"/>
      <c r="D69" s="20" t="s">
        <v>55</v>
      </c>
      <c r="E69" s="21" t="s">
        <v>36</v>
      </c>
      <c r="F69" s="21" t="s">
        <v>47</v>
      </c>
      <c r="G69" s="21" t="s">
        <v>48</v>
      </c>
      <c r="H69" s="21" t="s">
        <v>49</v>
      </c>
      <c r="I69" s="36"/>
      <c r="J69" s="36"/>
      <c r="K69" s="21" t="s">
        <v>70</v>
      </c>
      <c r="L69" s="21"/>
      <c r="M69" s="24"/>
      <c r="N69" s="24"/>
      <c r="O69" s="24"/>
      <c r="P69" s="24"/>
      <c r="Q69" s="24"/>
      <c r="R69" s="24">
        <f>IF(I69&lt;&gt;"0",I69,"")</f>
        <v>0</v>
      </c>
      <c r="S69" s="22">
        <f>IF(J69&lt;&gt;"0",J69,"")</f>
        <v>0</v>
      </c>
      <c r="T69" s="23">
        <v>-1</v>
      </c>
      <c r="U69" s="23">
        <v>-3</v>
      </c>
      <c r="V69" s="23">
        <v>79</v>
      </c>
      <c r="W69" s="23">
        <v>1014</v>
      </c>
      <c r="X69" s="23">
        <v>10</v>
      </c>
    </row>
    <row r="70" spans="1:24" x14ac:dyDescent="0.2">
      <c r="A70" s="18">
        <v>45835</v>
      </c>
      <c r="B70" s="19" t="e">
        <f>IF(A70="","",VLOOKUP(Planilla!A70,#REF!,2,FALSE))</f>
        <v>#REF!</v>
      </c>
      <c r="C70" s="19" t="e">
        <f>IF(B70="","",VLOOKUP(Planilla!A70,#REF!,3,FALSE))</f>
        <v>#REF!</v>
      </c>
      <c r="D70" s="20" t="s">
        <v>30</v>
      </c>
      <c r="E70" s="21" t="s">
        <v>31</v>
      </c>
      <c r="F70" s="21" t="s">
        <v>39</v>
      </c>
      <c r="G70" s="21" t="s">
        <v>40</v>
      </c>
      <c r="H70" s="21" t="s">
        <v>41</v>
      </c>
      <c r="I70" s="36"/>
      <c r="J70" s="36"/>
      <c r="K70" s="21" t="s">
        <v>42</v>
      </c>
      <c r="L70" s="21"/>
      <c r="M70" s="24" t="e">
        <f>IF(K70="",0,VLOOKUP(K70,#REF!,2,FALSE))</f>
        <v>#REF!</v>
      </c>
      <c r="N70" s="24">
        <f>IF(L70="",0,VLOOKUP(L70,#REF!,2,FALSE))</f>
        <v>0</v>
      </c>
      <c r="O70" s="24" t="e">
        <f t="shared" si="2"/>
        <v>#REF!</v>
      </c>
      <c r="P70" s="24" t="e">
        <f>IF(F70="Barrido","",O70)</f>
        <v>#REF!</v>
      </c>
      <c r="Q70" s="24" t="str">
        <f>IF(F70="Barrido",O70,"")</f>
        <v/>
      </c>
      <c r="R70" s="24">
        <f>IF(I70&lt;&gt;"0",I70,"")</f>
        <v>0</v>
      </c>
      <c r="S70" s="22">
        <f>IF(J70&lt;&gt;"0",J70,"")</f>
        <v>0</v>
      </c>
      <c r="T70" s="23">
        <v>-2</v>
      </c>
      <c r="U70" s="23">
        <v>-4</v>
      </c>
      <c r="V70" s="23">
        <v>80</v>
      </c>
      <c r="W70" s="23">
        <v>1017</v>
      </c>
      <c r="X70" s="23">
        <v>6.5</v>
      </c>
    </row>
    <row r="71" spans="1:24" x14ac:dyDescent="0.2">
      <c r="A71" s="18">
        <v>45835</v>
      </c>
      <c r="B71" s="19" t="e">
        <f>IF(A71="","",VLOOKUP(Planilla!A71,#REF!,2,FALSE))</f>
        <v>#REF!</v>
      </c>
      <c r="C71" s="19" t="e">
        <f>IF(B71="","",VLOOKUP(Planilla!A71,#REF!,3,FALSE))</f>
        <v>#REF!</v>
      </c>
      <c r="D71" s="20" t="s">
        <v>30</v>
      </c>
      <c r="E71" s="21" t="s">
        <v>31</v>
      </c>
      <c r="F71" s="21" t="s">
        <v>32</v>
      </c>
      <c r="G71" s="21" t="s">
        <v>65</v>
      </c>
      <c r="H71" s="21" t="s">
        <v>34</v>
      </c>
      <c r="I71" s="36">
        <v>200</v>
      </c>
      <c r="J71" s="36"/>
      <c r="K71" s="21" t="s">
        <v>50</v>
      </c>
      <c r="L71" s="21"/>
      <c r="M71" s="24" t="e">
        <f>IF(K71="",0,VLOOKUP(K71,#REF!,2,FALSE))</f>
        <v>#REF!</v>
      </c>
      <c r="N71" s="24">
        <f>IF(L71="",0,VLOOKUP(L71,#REF!,2,FALSE))</f>
        <v>0</v>
      </c>
      <c r="O71" s="24" t="e">
        <f t="shared" si="2"/>
        <v>#REF!</v>
      </c>
      <c r="P71" s="24" t="e">
        <f>IF(F71="Barrido","",O71)</f>
        <v>#REF!</v>
      </c>
      <c r="Q71" s="24" t="str">
        <f>IF(F71="Barrido",O71,"")</f>
        <v/>
      </c>
      <c r="R71" s="24">
        <f>IF(I71&lt;&gt;"0",I71,"")</f>
        <v>200</v>
      </c>
      <c r="S71" s="22">
        <f>IF(J71&lt;&gt;"0",J71,"")</f>
        <v>0</v>
      </c>
      <c r="T71" s="23">
        <v>-2</v>
      </c>
      <c r="U71" s="23">
        <v>-4</v>
      </c>
      <c r="V71" s="23">
        <v>80</v>
      </c>
      <c r="W71" s="23">
        <v>1017</v>
      </c>
      <c r="X71" s="23">
        <v>6.5</v>
      </c>
    </row>
    <row r="72" spans="1:24" x14ac:dyDescent="0.2">
      <c r="A72" s="18">
        <v>45836</v>
      </c>
      <c r="B72" s="19" t="e">
        <f>IF(A72="","",VLOOKUP(Planilla!A72,#REF!,2,FALSE))</f>
        <v>#REF!</v>
      </c>
      <c r="C72" s="19" t="e">
        <f>IF(B72="","",VLOOKUP(Planilla!A72,#REF!,3,FALSE))</f>
        <v>#REF!</v>
      </c>
      <c r="D72" s="20" t="s">
        <v>30</v>
      </c>
      <c r="E72" s="21" t="s">
        <v>60</v>
      </c>
      <c r="F72" s="21" t="s">
        <v>39</v>
      </c>
      <c r="G72" s="21" t="s">
        <v>40</v>
      </c>
      <c r="H72" s="21" t="s">
        <v>41</v>
      </c>
      <c r="I72" s="36"/>
      <c r="J72" s="36"/>
      <c r="K72" s="21" t="s">
        <v>42</v>
      </c>
      <c r="L72" s="21"/>
      <c r="M72" s="24" t="e">
        <f>IF(K72="",0,VLOOKUP(K72,#REF!,2,FALSE))</f>
        <v>#REF!</v>
      </c>
      <c r="N72" s="24">
        <f>IF(L72="",0,VLOOKUP(L72,#REF!,2,FALSE))</f>
        <v>0</v>
      </c>
      <c r="O72" s="24" t="e">
        <f t="shared" si="2"/>
        <v>#REF!</v>
      </c>
      <c r="P72" s="24" t="e">
        <f>IF(F72="Barrido","",O72)</f>
        <v>#REF!</v>
      </c>
      <c r="Q72" s="24" t="str">
        <f>IF(F72="Barrido",O72,"")</f>
        <v/>
      </c>
      <c r="R72" s="24">
        <f>IF(I72&lt;&gt;"0",I72,"")</f>
        <v>0</v>
      </c>
      <c r="S72" s="22">
        <f>IF(J72&lt;&gt;"0",J72,"")</f>
        <v>0</v>
      </c>
      <c r="T72" s="23">
        <v>-4.5</v>
      </c>
      <c r="U72" s="23">
        <v>-6</v>
      </c>
      <c r="V72" s="23">
        <v>91</v>
      </c>
      <c r="W72" s="23">
        <v>1031.8</v>
      </c>
      <c r="X72" s="23">
        <v>0</v>
      </c>
    </row>
    <row r="73" spans="1:24" x14ac:dyDescent="0.2">
      <c r="A73" s="18">
        <v>45836</v>
      </c>
      <c r="B73" s="19" t="e">
        <f>IF(A73="","",VLOOKUP(Planilla!A73,#REF!,2,FALSE))</f>
        <v>#REF!</v>
      </c>
      <c r="C73" s="19" t="e">
        <f>IF(B73="","",VLOOKUP(Planilla!A73,#REF!,3,FALSE))</f>
        <v>#REF!</v>
      </c>
      <c r="D73" s="20" t="s">
        <v>30</v>
      </c>
      <c r="E73" s="21" t="s">
        <v>60</v>
      </c>
      <c r="F73" s="21" t="s">
        <v>52</v>
      </c>
      <c r="G73" s="21" t="s">
        <v>53</v>
      </c>
      <c r="H73" s="21" t="s">
        <v>54</v>
      </c>
      <c r="I73" s="36"/>
      <c r="J73" s="36">
        <v>500</v>
      </c>
      <c r="K73" s="21" t="s">
        <v>50</v>
      </c>
      <c r="L73" s="21"/>
      <c r="M73" s="24" t="e">
        <f>IF(K73="",0,VLOOKUP(K73,#REF!,2,FALSE))</f>
        <v>#REF!</v>
      </c>
      <c r="N73" s="24">
        <f>IF(L73="",0,VLOOKUP(L73,#REF!,2,FALSE))</f>
        <v>0</v>
      </c>
      <c r="O73" s="24" t="e">
        <f t="shared" si="2"/>
        <v>#REF!</v>
      </c>
      <c r="P73" s="24" t="e">
        <f>IF(F73="Barrido","",O73)</f>
        <v>#REF!</v>
      </c>
      <c r="Q73" s="24" t="str">
        <f>IF(F73="Barrido",O73,"")</f>
        <v/>
      </c>
      <c r="R73" s="24">
        <f>IF(I73&lt;&gt;"0",I73,"")</f>
        <v>0</v>
      </c>
      <c r="S73" s="22">
        <f>IF(J73&lt;&gt;"0",J73,"")</f>
        <v>500</v>
      </c>
      <c r="T73" s="23">
        <v>-4.5</v>
      </c>
      <c r="U73" s="23">
        <v>-6</v>
      </c>
      <c r="V73" s="23">
        <v>91</v>
      </c>
      <c r="W73" s="23">
        <v>1031.8</v>
      </c>
      <c r="X73" s="23">
        <v>0</v>
      </c>
    </row>
    <row r="74" spans="1:24" x14ac:dyDescent="0.2">
      <c r="A74" s="18">
        <v>45836</v>
      </c>
      <c r="B74" s="19" t="e">
        <f>IF(A74="","",VLOOKUP(Planilla!A74,#REF!,2,FALSE))</f>
        <v>#REF!</v>
      </c>
      <c r="C74" s="19" t="e">
        <f>IF(B74="","",VLOOKUP(Planilla!A74,#REF!,3,FALSE))</f>
        <v>#REF!</v>
      </c>
      <c r="D74" s="20" t="s">
        <v>30</v>
      </c>
      <c r="E74" s="21" t="s">
        <v>51</v>
      </c>
      <c r="F74" s="21" t="s">
        <v>39</v>
      </c>
      <c r="G74" s="21" t="s">
        <v>40</v>
      </c>
      <c r="H74" s="21" t="s">
        <v>41</v>
      </c>
      <c r="I74" s="36"/>
      <c r="J74" s="36"/>
      <c r="K74" s="21" t="s">
        <v>42</v>
      </c>
      <c r="L74" s="21"/>
      <c r="M74" s="24" t="e">
        <f>IF(K74="",0,VLOOKUP(K74,#REF!,2,FALSE))</f>
        <v>#REF!</v>
      </c>
      <c r="N74" s="24">
        <f>IF(L74="",0,VLOOKUP(L74,#REF!,2,FALSE))</f>
        <v>0</v>
      </c>
      <c r="O74" s="24" t="e">
        <f t="shared" si="2"/>
        <v>#REF!</v>
      </c>
      <c r="P74" s="24" t="e">
        <f>IF(F74="Barrido","",O74)</f>
        <v>#REF!</v>
      </c>
      <c r="Q74" s="24" t="str">
        <f>IF(F74="Barrido",O74,"")</f>
        <v/>
      </c>
      <c r="R74" s="24">
        <f>IF(I74&lt;&gt;"0",I74,"")</f>
        <v>0</v>
      </c>
      <c r="S74" s="22">
        <f>IF(J74&lt;&gt;"0",J74,"")</f>
        <v>0</v>
      </c>
      <c r="T74" s="23">
        <v>-3.9</v>
      </c>
      <c r="U74" s="23">
        <v>-6</v>
      </c>
      <c r="V74" s="23">
        <v>91</v>
      </c>
      <c r="W74" s="23">
        <v>1034.9000000000001</v>
      </c>
      <c r="X74" s="23">
        <v>10</v>
      </c>
    </row>
    <row r="75" spans="1:24" x14ac:dyDescent="0.2">
      <c r="A75" s="18">
        <v>45836</v>
      </c>
      <c r="B75" s="19" t="e">
        <f>IF(A75="","",VLOOKUP(Planilla!A75,#REF!,2,FALSE))</f>
        <v>#REF!</v>
      </c>
      <c r="C75" s="19" t="e">
        <f>IF(B75="","",VLOOKUP(Planilla!A75,#REF!,3,FALSE))</f>
        <v>#REF!</v>
      </c>
      <c r="D75" s="20" t="s">
        <v>30</v>
      </c>
      <c r="E75" s="21" t="s">
        <v>51</v>
      </c>
      <c r="F75" s="21" t="s">
        <v>52</v>
      </c>
      <c r="G75" s="21" t="s">
        <v>53</v>
      </c>
      <c r="H75" s="21" t="s">
        <v>54</v>
      </c>
      <c r="I75" s="36"/>
      <c r="J75" s="36">
        <v>1500</v>
      </c>
      <c r="K75" s="21" t="s">
        <v>37</v>
      </c>
      <c r="L75" s="21"/>
      <c r="M75" s="24" t="e">
        <f>IF(K75="",0,VLOOKUP(K75,#REF!,2,FALSE))</f>
        <v>#REF!</v>
      </c>
      <c r="N75" s="24">
        <f>IF(L75="",0,VLOOKUP(L75,#REF!,2,FALSE))</f>
        <v>0</v>
      </c>
      <c r="O75" s="24" t="e">
        <f t="shared" si="2"/>
        <v>#REF!</v>
      </c>
      <c r="P75" s="24" t="e">
        <f>IF(F75="Barrido","",O75)</f>
        <v>#REF!</v>
      </c>
      <c r="Q75" s="24" t="str">
        <f>IF(F75="Barrido",O75,"")</f>
        <v/>
      </c>
      <c r="R75" s="24">
        <f>IF(I75&lt;&gt;"0",I75,"")</f>
        <v>0</v>
      </c>
      <c r="S75" s="22">
        <f>IF(J75&lt;&gt;"0",J75,"")</f>
        <v>1500</v>
      </c>
      <c r="T75" s="23">
        <v>-4.3</v>
      </c>
      <c r="U75" s="23">
        <v>-5</v>
      </c>
      <c r="V75" s="23">
        <v>93</v>
      </c>
      <c r="W75" s="23">
        <v>1034.8</v>
      </c>
      <c r="X75" s="23">
        <v>6.5</v>
      </c>
    </row>
    <row r="76" spans="1:24" x14ac:dyDescent="0.2">
      <c r="A76" s="18">
        <v>45836</v>
      </c>
      <c r="B76" s="19" t="e">
        <f>IF(A76="","",VLOOKUP(Planilla!A76,#REF!,2,FALSE))</f>
        <v>#REF!</v>
      </c>
      <c r="C76" s="19" t="e">
        <f>IF(B76="","",VLOOKUP(Planilla!A76,#REF!,3,FALSE))</f>
        <v>#REF!</v>
      </c>
      <c r="D76" s="20" t="s">
        <v>30</v>
      </c>
      <c r="E76" s="21" t="s">
        <v>51</v>
      </c>
      <c r="F76" s="21" t="s">
        <v>39</v>
      </c>
      <c r="G76" s="21" t="s">
        <v>40</v>
      </c>
      <c r="H76" s="21" t="s">
        <v>41</v>
      </c>
      <c r="I76" s="36"/>
      <c r="J76" s="36"/>
      <c r="K76" s="21" t="s">
        <v>42</v>
      </c>
      <c r="L76" s="21"/>
      <c r="M76" s="24" t="e">
        <f>IF(K76="",0,VLOOKUP(K76,#REF!,2,FALSE))</f>
        <v>#REF!</v>
      </c>
      <c r="N76" s="24">
        <f>IF(L76="",0,VLOOKUP(L76,#REF!,2,FALSE))</f>
        <v>0</v>
      </c>
      <c r="O76" s="24" t="e">
        <f t="shared" si="2"/>
        <v>#REF!</v>
      </c>
      <c r="P76" s="24" t="e">
        <f>IF(F76="Barrido","",O76)</f>
        <v>#REF!</v>
      </c>
      <c r="Q76" s="24" t="str">
        <f>IF(F76="Barrido",O76,"")</f>
        <v/>
      </c>
      <c r="R76" s="24">
        <f>IF(I76&lt;&gt;"0",I76,"")</f>
        <v>0</v>
      </c>
      <c r="S76" s="22">
        <f>IF(J76&lt;&gt;"0",J76,"")</f>
        <v>0</v>
      </c>
      <c r="T76" s="23">
        <v>-4.3</v>
      </c>
      <c r="U76" s="23">
        <v>-5</v>
      </c>
      <c r="V76" s="23">
        <v>93</v>
      </c>
      <c r="W76" s="23">
        <v>1034.9000000000001</v>
      </c>
      <c r="X76" s="23">
        <v>8</v>
      </c>
    </row>
    <row r="77" spans="1:24" x14ac:dyDescent="0.2">
      <c r="A77" s="18">
        <v>45836</v>
      </c>
      <c r="B77" s="19" t="e">
        <f>IF(A77="","",VLOOKUP(Planilla!A77,#REF!,2,FALSE))</f>
        <v>#REF!</v>
      </c>
      <c r="C77" s="19" t="e">
        <f>IF(B77="","",VLOOKUP(Planilla!A77,#REF!,3,FALSE))</f>
        <v>#REF!</v>
      </c>
      <c r="D77" s="20" t="s">
        <v>30</v>
      </c>
      <c r="E77" s="21" t="s">
        <v>43</v>
      </c>
      <c r="F77" s="21" t="s">
        <v>47</v>
      </c>
      <c r="G77" s="21" t="s">
        <v>48</v>
      </c>
      <c r="H77" s="21" t="s">
        <v>49</v>
      </c>
      <c r="I77" s="36"/>
      <c r="J77" s="36"/>
      <c r="K77" s="21" t="s">
        <v>50</v>
      </c>
      <c r="L77" s="21"/>
      <c r="M77" s="24" t="e">
        <f>IF(K77="",0,VLOOKUP(K77,#REF!,2,FALSE))</f>
        <v>#REF!</v>
      </c>
      <c r="N77" s="24">
        <f>IF(L77="",0,VLOOKUP(L77,#REF!,2,FALSE))</f>
        <v>0</v>
      </c>
      <c r="O77" s="24" t="e">
        <f t="shared" si="2"/>
        <v>#REF!</v>
      </c>
      <c r="P77" s="24" t="str">
        <f>IF(F77="Barrido","",O77)</f>
        <v/>
      </c>
      <c r="Q77" s="24" t="e">
        <f>IF(F77="Barrido",O77,"")</f>
        <v>#REF!</v>
      </c>
      <c r="R77" s="24">
        <f>IF(I77&lt;&gt;"0",I77,"")</f>
        <v>0</v>
      </c>
      <c r="S77" s="22">
        <f>IF(J77&lt;&gt;"0",J77,"")</f>
        <v>0</v>
      </c>
      <c r="T77" s="23">
        <v>-3</v>
      </c>
      <c r="U77" s="23">
        <v>-5</v>
      </c>
      <c r="V77" s="23">
        <v>97</v>
      </c>
      <c r="W77" s="23">
        <v>1035.7</v>
      </c>
      <c r="X77" s="23">
        <v>2</v>
      </c>
    </row>
    <row r="78" spans="1:24" x14ac:dyDescent="0.2">
      <c r="A78" s="18">
        <v>45836</v>
      </c>
      <c r="B78" s="19" t="e">
        <f>IF(A78="","",VLOOKUP(Planilla!A78,#REF!,2,FALSE))</f>
        <v>#REF!</v>
      </c>
      <c r="C78" s="19" t="e">
        <f>IF(B78="","",VLOOKUP(Planilla!A78,#REF!,3,FALSE))</f>
        <v>#REF!</v>
      </c>
      <c r="D78" s="20" t="s">
        <v>30</v>
      </c>
      <c r="E78" s="21" t="s">
        <v>43</v>
      </c>
      <c r="F78" s="21" t="s">
        <v>52</v>
      </c>
      <c r="G78" s="21" t="s">
        <v>53</v>
      </c>
      <c r="H78" s="21" t="s">
        <v>54</v>
      </c>
      <c r="I78" s="36"/>
      <c r="J78" s="36">
        <v>500</v>
      </c>
      <c r="K78" s="21" t="s">
        <v>50</v>
      </c>
      <c r="L78" s="21"/>
      <c r="M78" s="24" t="e">
        <f>IF(K78="",0,VLOOKUP(K78,#REF!,2,FALSE))</f>
        <v>#REF!</v>
      </c>
      <c r="N78" s="24">
        <f>IF(L78="",0,VLOOKUP(L78,#REF!,2,FALSE))</f>
        <v>0</v>
      </c>
      <c r="O78" s="24" t="e">
        <f t="shared" si="2"/>
        <v>#REF!</v>
      </c>
      <c r="P78" s="24" t="e">
        <f>IF(F78="Barrido","",O78)</f>
        <v>#REF!</v>
      </c>
      <c r="Q78" s="24" t="str">
        <f>IF(F78="Barrido",O78,"")</f>
        <v/>
      </c>
      <c r="R78" s="24">
        <f>IF(I78&lt;&gt;"0",I78,"")</f>
        <v>0</v>
      </c>
      <c r="S78" s="22">
        <f>IF(J78&lt;&gt;"0",J78,"")</f>
        <v>500</v>
      </c>
      <c r="T78" s="23">
        <v>-6.7</v>
      </c>
      <c r="U78" s="23">
        <v>-8</v>
      </c>
      <c r="V78" s="23">
        <v>99</v>
      </c>
      <c r="W78" s="23">
        <v>1034.9000000000001</v>
      </c>
      <c r="X78" s="23">
        <v>2.5</v>
      </c>
    </row>
    <row r="79" spans="1:24" x14ac:dyDescent="0.2">
      <c r="A79" s="18">
        <v>45836</v>
      </c>
      <c r="B79" s="19" t="e">
        <f>IF(A79="","",VLOOKUP(Planilla!A79,#REF!,2,FALSE))</f>
        <v>#REF!</v>
      </c>
      <c r="C79" s="19" t="e">
        <f>IF(B79="","",VLOOKUP(Planilla!A79,#REF!,3,FALSE))</f>
        <v>#REF!</v>
      </c>
      <c r="D79" s="20" t="s">
        <v>30</v>
      </c>
      <c r="E79" s="21" t="s">
        <v>43</v>
      </c>
      <c r="F79" s="21" t="s">
        <v>52</v>
      </c>
      <c r="G79" s="21" t="s">
        <v>53</v>
      </c>
      <c r="H79" s="21" t="s">
        <v>54</v>
      </c>
      <c r="I79" s="36"/>
      <c r="J79" s="36">
        <v>1000</v>
      </c>
      <c r="K79" s="21" t="s">
        <v>38</v>
      </c>
      <c r="L79" s="21"/>
      <c r="M79" s="24" t="e">
        <f>IF(K79="",0,VLOOKUP(K79,#REF!,2,FALSE))</f>
        <v>#REF!</v>
      </c>
      <c r="N79" s="24">
        <f>IF(L79="",0,VLOOKUP(L79,#REF!,2,FALSE))</f>
        <v>0</v>
      </c>
      <c r="O79" s="24" t="e">
        <f t="shared" ref="O79:O142" si="4">M79+N79</f>
        <v>#REF!</v>
      </c>
      <c r="P79" s="24" t="e">
        <f>IF(F79="Barrido","",O79)</f>
        <v>#REF!</v>
      </c>
      <c r="Q79" s="24" t="str">
        <f>IF(F79="Barrido",O79,"")</f>
        <v/>
      </c>
      <c r="R79" s="24">
        <f>IF(I79&lt;&gt;"0",I79,"")</f>
        <v>0</v>
      </c>
      <c r="S79" s="22">
        <f>IF(J79&lt;&gt;"0",J79,"")</f>
        <v>1000</v>
      </c>
      <c r="T79" s="23">
        <v>-6.7</v>
      </c>
      <c r="U79" s="23">
        <v>-8</v>
      </c>
      <c r="V79" s="23">
        <v>98</v>
      </c>
      <c r="W79" s="23">
        <v>1035.2</v>
      </c>
      <c r="X79" s="23">
        <v>4.7</v>
      </c>
    </row>
    <row r="80" spans="1:24" x14ac:dyDescent="0.2">
      <c r="A80" s="18">
        <v>45836</v>
      </c>
      <c r="B80" s="19" t="e">
        <f>IF(A80="","",VLOOKUP(Planilla!A80,#REF!,2,FALSE))</f>
        <v>#REF!</v>
      </c>
      <c r="C80" s="19" t="e">
        <f>IF(B80="","",VLOOKUP(Planilla!A80,#REF!,3,FALSE))</f>
        <v>#REF!</v>
      </c>
      <c r="D80" s="20" t="s">
        <v>30</v>
      </c>
      <c r="E80" s="21" t="s">
        <v>43</v>
      </c>
      <c r="F80" s="21" t="s">
        <v>39</v>
      </c>
      <c r="G80" s="21" t="s">
        <v>40</v>
      </c>
      <c r="H80" s="21" t="s">
        <v>41</v>
      </c>
      <c r="I80" s="36"/>
      <c r="J80" s="36"/>
      <c r="K80" s="21" t="s">
        <v>42</v>
      </c>
      <c r="L80" s="21"/>
      <c r="M80" s="24" t="e">
        <f>IF(K80="",0,VLOOKUP(K80,#REF!,2,FALSE))</f>
        <v>#REF!</v>
      </c>
      <c r="N80" s="24">
        <f>IF(L80="",0,VLOOKUP(L80,#REF!,2,FALSE))</f>
        <v>0</v>
      </c>
      <c r="O80" s="24" t="e">
        <f t="shared" si="4"/>
        <v>#REF!</v>
      </c>
      <c r="P80" s="24" t="e">
        <f>IF(F80="Barrido","",O80)</f>
        <v>#REF!</v>
      </c>
      <c r="Q80" s="24" t="str">
        <f>IF(F80="Barrido",O80,"")</f>
        <v/>
      </c>
      <c r="R80" s="24">
        <f>IF(I80&lt;&gt;"0",I80,"")</f>
        <v>0</v>
      </c>
      <c r="S80" s="22">
        <f>IF(J80&lt;&gt;"0",J80,"")</f>
        <v>0</v>
      </c>
      <c r="T80" s="23">
        <v>-6.7</v>
      </c>
      <c r="U80" s="23">
        <v>-8</v>
      </c>
      <c r="V80" s="23">
        <v>98</v>
      </c>
      <c r="W80" s="23">
        <v>1035.2</v>
      </c>
      <c r="X80" s="23">
        <v>4.7</v>
      </c>
    </row>
    <row r="81" spans="1:24" x14ac:dyDescent="0.2">
      <c r="A81" s="18">
        <v>45837</v>
      </c>
      <c r="B81" s="19" t="e">
        <f>IF(A81="","",VLOOKUP(Planilla!A81,#REF!,2,FALSE))</f>
        <v>#REF!</v>
      </c>
      <c r="C81" s="19" t="e">
        <f>IF(B81="","",VLOOKUP(Planilla!A81,#REF!,3,FALSE))</f>
        <v>#REF!</v>
      </c>
      <c r="D81" s="20" t="s">
        <v>30</v>
      </c>
      <c r="E81" s="21" t="s">
        <v>43</v>
      </c>
      <c r="F81" s="21" t="s">
        <v>52</v>
      </c>
      <c r="G81" s="21" t="s">
        <v>53</v>
      </c>
      <c r="H81" s="21" t="s">
        <v>54</v>
      </c>
      <c r="I81" s="36"/>
      <c r="J81" s="36">
        <v>1000</v>
      </c>
      <c r="K81" s="21" t="s">
        <v>63</v>
      </c>
      <c r="L81" s="21"/>
      <c r="M81" s="24" t="e">
        <f>IF(K81="",0,VLOOKUP(K81,#REF!,2,FALSE))</f>
        <v>#REF!</v>
      </c>
      <c r="N81" s="24">
        <f>IF(L81="",0,VLOOKUP(L81,#REF!,2,FALSE))</f>
        <v>0</v>
      </c>
      <c r="O81" s="24" t="e">
        <f t="shared" si="4"/>
        <v>#REF!</v>
      </c>
      <c r="P81" s="24" t="e">
        <f>IF(F81="Barrido","",O81)</f>
        <v>#REF!</v>
      </c>
      <c r="Q81" s="24" t="str">
        <f>IF(F81="Barrido",O81,"")</f>
        <v/>
      </c>
      <c r="R81" s="24">
        <f>IF(I81&lt;&gt;"0",I81,"")</f>
        <v>0</v>
      </c>
      <c r="S81" s="22">
        <f>IF(J81&lt;&gt;"0",J81,"")</f>
        <v>1000</v>
      </c>
      <c r="T81" s="23">
        <v>-5.2</v>
      </c>
      <c r="U81" s="23">
        <v>-8</v>
      </c>
      <c r="V81" s="23">
        <v>97</v>
      </c>
      <c r="W81" s="23">
        <v>1034.8</v>
      </c>
      <c r="X81" s="23">
        <v>6.5</v>
      </c>
    </row>
    <row r="82" spans="1:24" x14ac:dyDescent="0.2">
      <c r="A82" s="18">
        <v>45837</v>
      </c>
      <c r="B82" s="19" t="e">
        <f>IF(A82="","",VLOOKUP(Planilla!A82,#REF!,2,FALSE))</f>
        <v>#REF!</v>
      </c>
      <c r="C82" s="19" t="e">
        <f>IF(B82="","",VLOOKUP(Planilla!A82,#REF!,3,FALSE))</f>
        <v>#REF!</v>
      </c>
      <c r="D82" s="20" t="s">
        <v>30</v>
      </c>
      <c r="E82" s="21" t="s">
        <v>51</v>
      </c>
      <c r="F82" s="21" t="s">
        <v>52</v>
      </c>
      <c r="G82" s="21" t="s">
        <v>65</v>
      </c>
      <c r="H82" s="21" t="s">
        <v>54</v>
      </c>
      <c r="I82" s="36"/>
      <c r="J82" s="36">
        <v>3000</v>
      </c>
      <c r="K82" s="21" t="s">
        <v>42</v>
      </c>
      <c r="L82" s="21" t="s">
        <v>70</v>
      </c>
      <c r="M82" s="24" t="e">
        <f>IF(K82="",0,VLOOKUP(K82,#REF!,2,FALSE))</f>
        <v>#REF!</v>
      </c>
      <c r="N82" s="24" t="e">
        <f>IF(L82="",0,VLOOKUP(L82,#REF!,2,FALSE))</f>
        <v>#REF!</v>
      </c>
      <c r="O82" s="24" t="e">
        <f t="shared" si="4"/>
        <v>#REF!</v>
      </c>
      <c r="P82" s="24" t="e">
        <f>IF(F82="Barrido","",O82)</f>
        <v>#REF!</v>
      </c>
      <c r="Q82" s="24" t="str">
        <f>IF(F82="Barrido",O82,"")</f>
        <v/>
      </c>
      <c r="R82" s="24">
        <f>IF(I82&lt;&gt;"0",I82,"")</f>
        <v>0</v>
      </c>
      <c r="S82" s="22">
        <f>IF(J82&lt;&gt;"0",J82,"")</f>
        <v>3000</v>
      </c>
      <c r="T82" s="23">
        <v>-5</v>
      </c>
      <c r="U82" s="23">
        <v>-5</v>
      </c>
      <c r="V82" s="23">
        <v>83</v>
      </c>
      <c r="W82" s="23">
        <v>1023.8</v>
      </c>
      <c r="X82" s="23">
        <v>17</v>
      </c>
    </row>
    <row r="83" spans="1:24" x14ac:dyDescent="0.2">
      <c r="A83" s="18">
        <v>45838</v>
      </c>
      <c r="B83" s="19" t="e">
        <f>IF(A83="","",VLOOKUP(Planilla!A83,#REF!,2,FALSE))</f>
        <v>#REF!</v>
      </c>
      <c r="C83" s="19" t="e">
        <f>IF(B83="","",VLOOKUP(Planilla!A83,#REF!,3,FALSE))</f>
        <v>#REF!</v>
      </c>
      <c r="D83" s="20" t="s">
        <v>30</v>
      </c>
      <c r="E83" s="21" t="s">
        <v>51</v>
      </c>
      <c r="F83" s="21" t="s">
        <v>39</v>
      </c>
      <c r="G83" s="21" t="s">
        <v>40</v>
      </c>
      <c r="H83" s="21" t="s">
        <v>41</v>
      </c>
      <c r="I83" s="36"/>
      <c r="J83" s="36"/>
      <c r="K83" s="21" t="s">
        <v>42</v>
      </c>
      <c r="L83" s="21"/>
      <c r="M83" s="24" t="e">
        <f>IF(K83="",0,VLOOKUP(K83,#REF!,2,FALSE))</f>
        <v>#REF!</v>
      </c>
      <c r="N83" s="24">
        <f>IF(L83="",0,VLOOKUP(L83,#REF!,2,FALSE))</f>
        <v>0</v>
      </c>
      <c r="O83" s="24" t="e">
        <f t="shared" si="4"/>
        <v>#REF!</v>
      </c>
      <c r="P83" s="24" t="e">
        <f>IF(F83="Barrido","",O83)</f>
        <v>#REF!</v>
      </c>
      <c r="Q83" s="24" t="str">
        <f>IF(F83="Barrido",O83,"")</f>
        <v/>
      </c>
      <c r="R83" s="24">
        <f>IF(I83&lt;&gt;"0",I83,"")</f>
        <v>0</v>
      </c>
      <c r="S83" s="22">
        <f>IF(J83&lt;&gt;"0",J83,"")</f>
        <v>0</v>
      </c>
      <c r="T83" s="23">
        <v>-1</v>
      </c>
      <c r="U83" s="23">
        <v>-2</v>
      </c>
      <c r="V83" s="23">
        <v>93</v>
      </c>
      <c r="W83" s="23">
        <v>1019</v>
      </c>
      <c r="X83" s="23">
        <v>9</v>
      </c>
    </row>
    <row r="84" spans="1:24" x14ac:dyDescent="0.2">
      <c r="A84" s="18">
        <v>45839</v>
      </c>
      <c r="B84" s="19" t="e">
        <f>IF(A84="","",VLOOKUP(Planilla!A84,#REF!,2,FALSE))</f>
        <v>#REF!</v>
      </c>
      <c r="C84" s="19" t="e">
        <f>IF(B84="","",VLOOKUP(Planilla!A84,#REF!,3,FALSE))</f>
        <v>#REF!</v>
      </c>
      <c r="D84" s="20" t="s">
        <v>30</v>
      </c>
      <c r="E84" s="21" t="s">
        <v>51</v>
      </c>
      <c r="F84" s="21" t="s">
        <v>39</v>
      </c>
      <c r="G84" s="21" t="s">
        <v>40</v>
      </c>
      <c r="H84" s="21" t="s">
        <v>41</v>
      </c>
      <c r="I84" s="36"/>
      <c r="J84" s="36"/>
      <c r="K84" s="21" t="s">
        <v>42</v>
      </c>
      <c r="L84" s="21"/>
      <c r="M84" s="24" t="e">
        <f>IF(K84="",0,VLOOKUP(K84,#REF!,2,FALSE))</f>
        <v>#REF!</v>
      </c>
      <c r="N84" s="24">
        <f>IF(L84="",0,VLOOKUP(L84,#REF!,2,FALSE))</f>
        <v>0</v>
      </c>
      <c r="O84" s="24" t="e">
        <f t="shared" si="4"/>
        <v>#REF!</v>
      </c>
      <c r="P84" s="24" t="e">
        <f>IF(F84="Barrido","",O84)</f>
        <v>#REF!</v>
      </c>
      <c r="Q84" s="24" t="str">
        <f>IF(F84="Barrido",O84,"")</f>
        <v/>
      </c>
      <c r="R84" s="24">
        <f>IF(I84&lt;&gt;"0",I84,"")</f>
        <v>0</v>
      </c>
      <c r="S84" s="22">
        <f>IF(J84&lt;&gt;"0",J84,"")</f>
        <v>0</v>
      </c>
      <c r="T84" s="23">
        <v>-2</v>
      </c>
      <c r="U84" s="23">
        <v>-3</v>
      </c>
      <c r="V84" s="23">
        <v>98</v>
      </c>
      <c r="W84" s="23">
        <v>1015</v>
      </c>
      <c r="X84" s="23">
        <v>10</v>
      </c>
    </row>
    <row r="85" spans="1:24" x14ac:dyDescent="0.2">
      <c r="A85" s="18">
        <v>45839</v>
      </c>
      <c r="B85" s="19" t="e">
        <f>IF(A85="","",VLOOKUP(Planilla!A85,#REF!,2,FALSE))</f>
        <v>#REF!</v>
      </c>
      <c r="C85" s="19" t="e">
        <f>IF(B85="","",VLOOKUP(Planilla!A85,#REF!,3,FALSE))</f>
        <v>#REF!</v>
      </c>
      <c r="D85" s="20" t="s">
        <v>30</v>
      </c>
      <c r="E85" s="21" t="s">
        <v>51</v>
      </c>
      <c r="F85" s="21" t="s">
        <v>52</v>
      </c>
      <c r="G85" s="21" t="s">
        <v>53</v>
      </c>
      <c r="H85" s="21" t="s">
        <v>54</v>
      </c>
      <c r="I85" s="36"/>
      <c r="J85" s="36">
        <v>150</v>
      </c>
      <c r="K85" s="21" t="s">
        <v>50</v>
      </c>
      <c r="L85" s="21"/>
      <c r="M85" s="24" t="e">
        <f>IF(K85="",0,VLOOKUP(K85,#REF!,2,FALSE))</f>
        <v>#REF!</v>
      </c>
      <c r="N85" s="24">
        <f>IF(L85="",0,VLOOKUP(L85,#REF!,2,FALSE))</f>
        <v>0</v>
      </c>
      <c r="O85" s="24" t="e">
        <f t="shared" si="4"/>
        <v>#REF!</v>
      </c>
      <c r="P85" s="24" t="e">
        <f>IF(F85="Barrido","",O85)</f>
        <v>#REF!</v>
      </c>
      <c r="Q85" s="24" t="str">
        <f>IF(F85="Barrido",O85,"")</f>
        <v/>
      </c>
      <c r="R85" s="24">
        <f>IF(I85&lt;&gt;"0",I85,"")</f>
        <v>0</v>
      </c>
      <c r="S85" s="22">
        <f>IF(J85&lt;&gt;"0",J85,"")</f>
        <v>150</v>
      </c>
      <c r="T85" s="23">
        <v>-2</v>
      </c>
      <c r="U85" s="23">
        <v>-3</v>
      </c>
      <c r="V85" s="23">
        <v>98</v>
      </c>
      <c r="W85" s="23">
        <v>1015</v>
      </c>
      <c r="X85" s="23">
        <v>10</v>
      </c>
    </row>
    <row r="86" spans="1:24" x14ac:dyDescent="0.2">
      <c r="A86" s="18">
        <v>45839</v>
      </c>
      <c r="B86" s="19" t="e">
        <f>IF(A86="","",VLOOKUP(Planilla!A86,#REF!,2,FALSE))</f>
        <v>#REF!</v>
      </c>
      <c r="C86" s="19" t="e">
        <f>IF(B86="","",VLOOKUP(Planilla!A86,#REF!,3,FALSE))</f>
        <v>#REF!</v>
      </c>
      <c r="D86" s="20" t="s">
        <v>30</v>
      </c>
      <c r="E86" s="21" t="s">
        <v>51</v>
      </c>
      <c r="F86" s="21" t="s">
        <v>39</v>
      </c>
      <c r="G86" s="21" t="s">
        <v>40</v>
      </c>
      <c r="H86" s="21" t="s">
        <v>41</v>
      </c>
      <c r="I86" s="36"/>
      <c r="J86" s="36"/>
      <c r="K86" s="21" t="s">
        <v>42</v>
      </c>
      <c r="L86" s="21"/>
      <c r="M86" s="24" t="e">
        <f>IF(K86="",0,VLOOKUP(K86,#REF!,2,FALSE))</f>
        <v>#REF!</v>
      </c>
      <c r="N86" s="24">
        <f>IF(L86="",0,VLOOKUP(L86,#REF!,2,FALSE))</f>
        <v>0</v>
      </c>
      <c r="O86" s="24" t="e">
        <f t="shared" si="4"/>
        <v>#REF!</v>
      </c>
      <c r="P86" s="24" t="e">
        <f>IF(F86="Barrido","",O86)</f>
        <v>#REF!</v>
      </c>
      <c r="Q86" s="24" t="str">
        <f>IF(F86="Barrido",O86,"")</f>
        <v/>
      </c>
      <c r="R86" s="24">
        <f>IF(I86&lt;&gt;"0",I86,"")</f>
        <v>0</v>
      </c>
      <c r="S86" s="22">
        <f>IF(J86&lt;&gt;"0",J86,"")</f>
        <v>0</v>
      </c>
      <c r="T86" s="23">
        <v>-3</v>
      </c>
      <c r="U86" s="23">
        <v>-4</v>
      </c>
      <c r="V86" s="23">
        <v>99</v>
      </c>
      <c r="W86" s="23">
        <v>1013</v>
      </c>
      <c r="X86" s="23">
        <v>3</v>
      </c>
    </row>
    <row r="87" spans="1:24" x14ac:dyDescent="0.2">
      <c r="A87" s="18">
        <v>45839</v>
      </c>
      <c r="B87" s="19" t="e">
        <f>IF(A87="","",VLOOKUP(Planilla!A87,#REF!,2,FALSE))</f>
        <v>#REF!</v>
      </c>
      <c r="C87" s="19" t="e">
        <f>IF(B87="","",VLOOKUP(Planilla!A87,#REF!,3,FALSE))</f>
        <v>#REF!</v>
      </c>
      <c r="D87" s="20" t="s">
        <v>30</v>
      </c>
      <c r="E87" s="21" t="s">
        <v>51</v>
      </c>
      <c r="F87" s="21" t="s">
        <v>52</v>
      </c>
      <c r="G87" s="21" t="s">
        <v>53</v>
      </c>
      <c r="H87" s="21" t="s">
        <v>54</v>
      </c>
      <c r="I87" s="36"/>
      <c r="J87" s="36">
        <v>1600</v>
      </c>
      <c r="K87" s="21" t="s">
        <v>35</v>
      </c>
      <c r="L87" s="21" t="s">
        <v>59</v>
      </c>
      <c r="M87" s="24" t="e">
        <f>IF(K87="",0,VLOOKUP(K87,#REF!,2,FALSE))</f>
        <v>#REF!</v>
      </c>
      <c r="N87" s="24" t="e">
        <f>IF(L87="",0,VLOOKUP(L87,#REF!,2,FALSE))</f>
        <v>#REF!</v>
      </c>
      <c r="O87" s="24" t="e">
        <f t="shared" si="4"/>
        <v>#REF!</v>
      </c>
      <c r="P87" s="24" t="e">
        <f>IF(F87="Barrido","",O87)</f>
        <v>#REF!</v>
      </c>
      <c r="Q87" s="24" t="str">
        <f>IF(F87="Barrido",O87,"")</f>
        <v/>
      </c>
      <c r="R87" s="24">
        <f>IF(I87&lt;&gt;"0",I87,"")</f>
        <v>0</v>
      </c>
      <c r="S87" s="22">
        <f>IF(J87&lt;&gt;"0",J87,"")</f>
        <v>1600</v>
      </c>
      <c r="T87" s="23">
        <v>-3</v>
      </c>
      <c r="U87" s="23">
        <v>-4</v>
      </c>
      <c r="V87" s="23">
        <v>99</v>
      </c>
      <c r="W87" s="23">
        <v>1013</v>
      </c>
      <c r="X87" s="23">
        <v>3</v>
      </c>
    </row>
    <row r="88" spans="1:24" x14ac:dyDescent="0.2">
      <c r="A88" s="18">
        <v>45839</v>
      </c>
      <c r="B88" s="19" t="e">
        <f>IF(A88="","",VLOOKUP(Planilla!A88,#REF!,2,FALSE))</f>
        <v>#REF!</v>
      </c>
      <c r="C88" s="19" t="e">
        <f>IF(B88="","",VLOOKUP(Planilla!A88,#REF!,3,FALSE))</f>
        <v>#REF!</v>
      </c>
      <c r="D88" s="20" t="s">
        <v>30</v>
      </c>
      <c r="E88" s="21" t="s">
        <v>43</v>
      </c>
      <c r="F88" s="21" t="s">
        <v>47</v>
      </c>
      <c r="G88" s="21" t="s">
        <v>48</v>
      </c>
      <c r="H88" s="21" t="s">
        <v>49</v>
      </c>
      <c r="I88" s="36"/>
      <c r="J88" s="36"/>
      <c r="K88" s="21" t="s">
        <v>50</v>
      </c>
      <c r="L88" s="21"/>
      <c r="M88" s="24" t="e">
        <f>IF(K88="",0,VLOOKUP(K88,#REF!,2,FALSE))</f>
        <v>#REF!</v>
      </c>
      <c r="N88" s="24">
        <f>IF(L88="",0,VLOOKUP(L88,#REF!,2,FALSE))</f>
        <v>0</v>
      </c>
      <c r="O88" s="24" t="e">
        <f t="shared" si="4"/>
        <v>#REF!</v>
      </c>
      <c r="P88" s="24" t="str">
        <f>IF(F88="Barrido","",O88)</f>
        <v/>
      </c>
      <c r="Q88" s="24" t="e">
        <f>IF(F88="Barrido",O88,"")</f>
        <v>#REF!</v>
      </c>
      <c r="R88" s="24">
        <f>IF(I88&lt;&gt;"0",I88,"")</f>
        <v>0</v>
      </c>
      <c r="S88" s="22">
        <f>IF(J88&lt;&gt;"0",J88,"")</f>
        <v>0</v>
      </c>
      <c r="T88" s="23">
        <v>1.4</v>
      </c>
      <c r="U88" s="23">
        <v>1</v>
      </c>
      <c r="V88" s="23">
        <v>90</v>
      </c>
      <c r="W88" s="23">
        <v>1009</v>
      </c>
      <c r="X88" s="23">
        <v>4</v>
      </c>
    </row>
    <row r="89" spans="1:24" x14ac:dyDescent="0.2">
      <c r="A89" s="18">
        <v>45839</v>
      </c>
      <c r="B89" s="19" t="e">
        <f>IF(A89="","",VLOOKUP(Planilla!A89,#REF!,2,FALSE))</f>
        <v>#REF!</v>
      </c>
      <c r="C89" s="19" t="e">
        <f>IF(B89="","",VLOOKUP(Planilla!A89,#REF!,3,FALSE))</f>
        <v>#REF!</v>
      </c>
      <c r="D89" s="20" t="s">
        <v>30</v>
      </c>
      <c r="E89" s="21" t="s">
        <v>51</v>
      </c>
      <c r="F89" s="21" t="s">
        <v>39</v>
      </c>
      <c r="G89" s="21" t="s">
        <v>40</v>
      </c>
      <c r="H89" s="21" t="s">
        <v>41</v>
      </c>
      <c r="I89" s="36"/>
      <c r="J89" s="36"/>
      <c r="K89" s="21" t="s">
        <v>42</v>
      </c>
      <c r="L89" s="21"/>
      <c r="M89" s="24" t="e">
        <f>IF(K89="",0,VLOOKUP(K89,#REF!,2,FALSE))</f>
        <v>#REF!</v>
      </c>
      <c r="N89" s="24">
        <f>IF(L89="",0,VLOOKUP(L89,#REF!,2,FALSE))</f>
        <v>0</v>
      </c>
      <c r="O89" s="24" t="e">
        <f t="shared" si="4"/>
        <v>#REF!</v>
      </c>
      <c r="P89" s="24" t="e">
        <f>IF(F89="Barrido","",O89)</f>
        <v>#REF!</v>
      </c>
      <c r="Q89" s="24" t="str">
        <f>IF(F89="Barrido",O89,"")</f>
        <v/>
      </c>
      <c r="R89" s="24">
        <f>IF(I89&lt;&gt;"0",I89,"")</f>
        <v>0</v>
      </c>
      <c r="S89" s="22">
        <f>IF(J89&lt;&gt;"0",J89,"")</f>
        <v>0</v>
      </c>
      <c r="T89" s="23">
        <v>-2.2999999999999998</v>
      </c>
      <c r="U89" s="23">
        <v>-2</v>
      </c>
      <c r="V89" s="23">
        <v>98</v>
      </c>
      <c r="W89" s="23">
        <v>1014.8</v>
      </c>
      <c r="X89" s="23">
        <v>6.5</v>
      </c>
    </row>
    <row r="90" spans="1:24" x14ac:dyDescent="0.2">
      <c r="A90" s="18">
        <v>45840</v>
      </c>
      <c r="B90" s="19" t="e">
        <f>IF(A90="","",VLOOKUP(Planilla!A90,#REF!,2,FALSE))</f>
        <v>#REF!</v>
      </c>
      <c r="C90" s="19" t="e">
        <f>IF(B90="","",VLOOKUP(Planilla!A90,#REF!,3,FALSE))</f>
        <v>#REF!</v>
      </c>
      <c r="D90" s="20" t="s">
        <v>30</v>
      </c>
      <c r="E90" s="21" t="s">
        <v>51</v>
      </c>
      <c r="F90" s="21" t="s">
        <v>39</v>
      </c>
      <c r="G90" s="21" t="s">
        <v>40</v>
      </c>
      <c r="H90" s="21" t="s">
        <v>41</v>
      </c>
      <c r="I90" s="36"/>
      <c r="J90" s="36"/>
      <c r="K90" s="21" t="s">
        <v>42</v>
      </c>
      <c r="L90" s="21"/>
      <c r="M90" s="24" t="e">
        <f>IF(K90="",0,VLOOKUP(K90,#REF!,2,FALSE))</f>
        <v>#REF!</v>
      </c>
      <c r="N90" s="24">
        <f>IF(L90="",0,VLOOKUP(L90,#REF!,2,FALSE))</f>
        <v>0</v>
      </c>
      <c r="O90" s="24" t="e">
        <f t="shared" si="4"/>
        <v>#REF!</v>
      </c>
      <c r="P90" s="24" t="e">
        <f>IF(F90="Barrido","",O90)</f>
        <v>#REF!</v>
      </c>
      <c r="Q90" s="24" t="str">
        <f>IF(F90="Barrido",O90,"")</f>
        <v/>
      </c>
      <c r="R90" s="24">
        <f>IF(I90&lt;&gt;"0",I90,"")</f>
        <v>0</v>
      </c>
      <c r="S90" s="22">
        <f>IF(J90&lt;&gt;"0",J90,"")</f>
        <v>0</v>
      </c>
      <c r="T90" s="23">
        <v>-2.2999999999999998</v>
      </c>
      <c r="U90" s="23">
        <v>-3</v>
      </c>
      <c r="V90" s="23">
        <v>98</v>
      </c>
      <c r="W90" s="23">
        <v>1013.9</v>
      </c>
      <c r="X90" s="23">
        <v>3.2</v>
      </c>
    </row>
    <row r="91" spans="1:24" x14ac:dyDescent="0.2">
      <c r="A91" s="18">
        <v>45840</v>
      </c>
      <c r="B91" s="19" t="e">
        <f>IF(A91="","",VLOOKUP(Planilla!A91,#REF!,2,FALSE))</f>
        <v>#REF!</v>
      </c>
      <c r="C91" s="19" t="e">
        <f>IF(B91="","",VLOOKUP(Planilla!A91,#REF!,3,FALSE))</f>
        <v>#REF!</v>
      </c>
      <c r="D91" s="20" t="s">
        <v>30</v>
      </c>
      <c r="E91" s="21" t="s">
        <v>51</v>
      </c>
      <c r="F91" s="21" t="s">
        <v>52</v>
      </c>
      <c r="G91" s="21" t="s">
        <v>53</v>
      </c>
      <c r="H91" s="21" t="s">
        <v>54</v>
      </c>
      <c r="I91" s="36"/>
      <c r="J91" s="36">
        <v>1500</v>
      </c>
      <c r="K91" s="21" t="s">
        <v>37</v>
      </c>
      <c r="L91" s="21" t="s">
        <v>59</v>
      </c>
      <c r="M91" s="24" t="e">
        <f>IF(K91="",0,VLOOKUP(K91,#REF!,2,FALSE))</f>
        <v>#REF!</v>
      </c>
      <c r="N91" s="24" t="e">
        <f>IF(L91="",0,VLOOKUP(L91,#REF!,2,FALSE))</f>
        <v>#REF!</v>
      </c>
      <c r="O91" s="24" t="e">
        <f t="shared" ref="O91" si="5">M91+N91</f>
        <v>#REF!</v>
      </c>
      <c r="P91" s="24" t="e">
        <f>IF(F91="Barrido","",O91)</f>
        <v>#REF!</v>
      </c>
      <c r="Q91" s="24" t="str">
        <f>IF(F91="Barrido",O91,"")</f>
        <v/>
      </c>
      <c r="R91" s="24">
        <f>IF(I91&lt;&gt;"0",I91,"")</f>
        <v>0</v>
      </c>
      <c r="S91" s="22">
        <f>IF(J91&lt;&gt;"0",J91,"")</f>
        <v>1500</v>
      </c>
      <c r="T91" s="23">
        <v>-2.2999999999999998</v>
      </c>
      <c r="U91" s="23">
        <v>-3</v>
      </c>
      <c r="V91" s="23">
        <v>98</v>
      </c>
      <c r="W91" s="23">
        <v>1013.9</v>
      </c>
      <c r="X91" s="23">
        <v>3.2</v>
      </c>
    </row>
    <row r="92" spans="1:24" x14ac:dyDescent="0.2">
      <c r="A92" s="18">
        <v>45840</v>
      </c>
      <c r="B92" s="19" t="e">
        <f>IF(A92="","",VLOOKUP(Planilla!A92,#REF!,2,FALSE))</f>
        <v>#REF!</v>
      </c>
      <c r="C92" s="19" t="e">
        <f>IF(B92="","",VLOOKUP(Planilla!A92,#REF!,3,FALSE))</f>
        <v>#REF!</v>
      </c>
      <c r="D92" s="20" t="s">
        <v>30</v>
      </c>
      <c r="E92" s="21" t="s">
        <v>51</v>
      </c>
      <c r="F92" s="21" t="s">
        <v>47</v>
      </c>
      <c r="G92" s="21" t="s">
        <v>48</v>
      </c>
      <c r="H92" s="21" t="s">
        <v>49</v>
      </c>
      <c r="I92" s="36"/>
      <c r="J92" s="36"/>
      <c r="K92" s="21" t="s">
        <v>62</v>
      </c>
      <c r="L92" s="21" t="s">
        <v>71</v>
      </c>
      <c r="M92" s="24" t="e">
        <f>IF(K92="",0,VLOOKUP(K92,#REF!,2,FALSE))</f>
        <v>#REF!</v>
      </c>
      <c r="N92" s="24" t="e">
        <f>IF(L92="",0,VLOOKUP(L92,#REF!,2,FALSE))</f>
        <v>#REF!</v>
      </c>
      <c r="O92" s="24" t="e">
        <f t="shared" si="4"/>
        <v>#REF!</v>
      </c>
      <c r="P92" s="24" t="str">
        <f>IF(F92="Barrido","",O92)</f>
        <v/>
      </c>
      <c r="Q92" s="24" t="e">
        <f>IF(F92="Barrido",O92,"")</f>
        <v>#REF!</v>
      </c>
      <c r="R92" s="24">
        <f>IF(I92&lt;&gt;"0",I92,"")</f>
        <v>0</v>
      </c>
      <c r="S92" s="22">
        <f>IF(J92&lt;&gt;"0",J92,"")</f>
        <v>0</v>
      </c>
      <c r="T92" s="23">
        <v>0</v>
      </c>
      <c r="U92" s="23">
        <v>-1</v>
      </c>
      <c r="V92" s="23">
        <v>93</v>
      </c>
      <c r="W92" s="23">
        <v>1006</v>
      </c>
      <c r="X92" s="23">
        <v>6</v>
      </c>
    </row>
    <row r="93" spans="1:24" x14ac:dyDescent="0.2">
      <c r="A93" s="18">
        <v>45840</v>
      </c>
      <c r="B93" s="19" t="e">
        <f>IF(A93="","",VLOOKUP(Planilla!A93,#REF!,2,FALSE))</f>
        <v>#REF!</v>
      </c>
      <c r="C93" s="19" t="e">
        <f>IF(B93="","",VLOOKUP(Planilla!A93,#REF!,3,FALSE))</f>
        <v>#REF!</v>
      </c>
      <c r="D93" s="20" t="s">
        <v>30</v>
      </c>
      <c r="E93" s="21" t="s">
        <v>51</v>
      </c>
      <c r="F93" s="21" t="s">
        <v>39</v>
      </c>
      <c r="G93" s="21" t="s">
        <v>40</v>
      </c>
      <c r="H93" s="21" t="s">
        <v>41</v>
      </c>
      <c r="I93" s="36"/>
      <c r="J93" s="36"/>
      <c r="K93" s="21" t="s">
        <v>42</v>
      </c>
      <c r="L93" s="21"/>
      <c r="M93" s="24" t="e">
        <f>IF(K93="",0,VLOOKUP(K93,#REF!,2,FALSE))</f>
        <v>#REF!</v>
      </c>
      <c r="N93" s="24">
        <f>IF(L93="",0,VLOOKUP(L93,#REF!,2,FALSE))</f>
        <v>0</v>
      </c>
      <c r="O93" s="24" t="e">
        <f t="shared" si="4"/>
        <v>#REF!</v>
      </c>
      <c r="P93" s="24" t="e">
        <f>IF(F93="Barrido","",O93)</f>
        <v>#REF!</v>
      </c>
      <c r="Q93" s="24" t="str">
        <f>IF(F93="Barrido",O93,"")</f>
        <v/>
      </c>
      <c r="R93" s="24">
        <f>IF(I93&lt;&gt;"0",I93,"")</f>
        <v>0</v>
      </c>
      <c r="S93" s="22">
        <f>IF(J93&lt;&gt;"0",J93,"")</f>
        <v>0</v>
      </c>
      <c r="T93" s="23">
        <v>0</v>
      </c>
      <c r="U93" s="23">
        <v>-1</v>
      </c>
      <c r="V93" s="23">
        <v>93</v>
      </c>
      <c r="W93" s="23">
        <v>1006</v>
      </c>
      <c r="X93" s="23">
        <v>6</v>
      </c>
    </row>
    <row r="94" spans="1:24" x14ac:dyDescent="0.2">
      <c r="A94" s="18">
        <v>45840</v>
      </c>
      <c r="B94" s="19" t="e">
        <f>IF(A94="","",VLOOKUP(Planilla!A94,#REF!,2,FALSE))</f>
        <v>#REF!</v>
      </c>
      <c r="C94" s="19" t="e">
        <f>IF(B94="","",VLOOKUP(Planilla!A94,#REF!,3,FALSE))</f>
        <v>#REF!</v>
      </c>
      <c r="D94" s="20" t="s">
        <v>30</v>
      </c>
      <c r="E94" s="21" t="s">
        <v>43</v>
      </c>
      <c r="F94" s="21" t="s">
        <v>39</v>
      </c>
      <c r="G94" s="21" t="s">
        <v>40</v>
      </c>
      <c r="H94" s="21" t="s">
        <v>41</v>
      </c>
      <c r="I94" s="36"/>
      <c r="J94" s="36"/>
      <c r="K94" s="21" t="s">
        <v>42</v>
      </c>
      <c r="L94" s="21"/>
      <c r="M94" s="24" t="e">
        <f>IF(K94="",0,VLOOKUP(K94,#REF!,2,FALSE))</f>
        <v>#REF!</v>
      </c>
      <c r="N94" s="24">
        <f>IF(L94="",0,VLOOKUP(L94,#REF!,2,FALSE))</f>
        <v>0</v>
      </c>
      <c r="O94" s="24" t="e">
        <f t="shared" si="4"/>
        <v>#REF!</v>
      </c>
      <c r="P94" s="24" t="e">
        <f>IF(F94="Barrido","",O94)</f>
        <v>#REF!</v>
      </c>
      <c r="Q94" s="24" t="str">
        <f>IF(F94="Barrido",O94,"")</f>
        <v/>
      </c>
      <c r="R94" s="24">
        <f>IF(I94&lt;&gt;"0",I94,"")</f>
        <v>0</v>
      </c>
      <c r="S94" s="22">
        <f>IF(J94&lt;&gt;"0",J94,"")</f>
        <v>0</v>
      </c>
      <c r="T94" s="23">
        <v>1</v>
      </c>
      <c r="U94" s="23">
        <v>0</v>
      </c>
      <c r="V94" s="23">
        <v>99</v>
      </c>
      <c r="W94" s="23">
        <v>1009.4</v>
      </c>
      <c r="X94" s="23">
        <v>1.3</v>
      </c>
    </row>
    <row r="95" spans="1:24" x14ac:dyDescent="0.2">
      <c r="A95" s="18">
        <v>45840</v>
      </c>
      <c r="B95" s="19" t="e">
        <f>IF(A95="","",VLOOKUP(Planilla!A95,#REF!,2,FALSE))</f>
        <v>#REF!</v>
      </c>
      <c r="C95" s="19" t="e">
        <f>IF(B95="","",VLOOKUP(Planilla!A95,#REF!,3,FALSE))</f>
        <v>#REF!</v>
      </c>
      <c r="D95" s="20" t="s">
        <v>30</v>
      </c>
      <c r="E95" s="21" t="s">
        <v>43</v>
      </c>
      <c r="F95" s="21" t="s">
        <v>47</v>
      </c>
      <c r="G95" s="21" t="s">
        <v>48</v>
      </c>
      <c r="H95" s="21" t="s">
        <v>49</v>
      </c>
      <c r="I95" s="36"/>
      <c r="J95" s="36"/>
      <c r="K95" s="21" t="s">
        <v>50</v>
      </c>
      <c r="L95" s="21"/>
      <c r="M95" s="24" t="e">
        <f>IF(K95="",0,VLOOKUP(K95,#REF!,2,FALSE))</f>
        <v>#REF!</v>
      </c>
      <c r="N95" s="24">
        <f>IF(L95="",0,VLOOKUP(L95,#REF!,2,FALSE))</f>
        <v>0</v>
      </c>
      <c r="O95" s="24" t="e">
        <f t="shared" si="4"/>
        <v>#REF!</v>
      </c>
      <c r="P95" s="24" t="str">
        <f>IF(F95="Barrido","",O95)</f>
        <v/>
      </c>
      <c r="Q95" s="24" t="e">
        <f>IF(F95="Barrido",O95,"")</f>
        <v>#REF!</v>
      </c>
      <c r="R95" s="24">
        <f>IF(I95&lt;&gt;"0",I95,"")</f>
        <v>0</v>
      </c>
      <c r="S95" s="22">
        <f>IF(J95&lt;&gt;"0",J95,"")</f>
        <v>0</v>
      </c>
      <c r="T95" s="23">
        <v>3.6</v>
      </c>
      <c r="U95" s="23">
        <v>2.5</v>
      </c>
      <c r="V95" s="23">
        <v>93</v>
      </c>
      <c r="W95" s="23">
        <v>1011.14</v>
      </c>
      <c r="X95" s="23">
        <v>0</v>
      </c>
    </row>
    <row r="96" spans="1:24" x14ac:dyDescent="0.2">
      <c r="A96" s="18">
        <v>45840</v>
      </c>
      <c r="B96" s="19" t="e">
        <f>IF(A96="","",VLOOKUP(Planilla!A96,#REF!,2,FALSE))</f>
        <v>#REF!</v>
      </c>
      <c r="C96" s="19" t="e">
        <f>IF(B96="","",VLOOKUP(Planilla!A96,#REF!,3,FALSE))</f>
        <v>#REF!</v>
      </c>
      <c r="D96" s="20" t="s">
        <v>30</v>
      </c>
      <c r="E96" s="21" t="s">
        <v>43</v>
      </c>
      <c r="F96" s="21" t="s">
        <v>39</v>
      </c>
      <c r="G96" s="21" t="s">
        <v>40</v>
      </c>
      <c r="H96" s="21" t="s">
        <v>41</v>
      </c>
      <c r="I96" s="36"/>
      <c r="J96" s="36"/>
      <c r="K96" s="21" t="s">
        <v>42</v>
      </c>
      <c r="L96" s="21"/>
      <c r="M96" s="24" t="e">
        <f>IF(K96="",0,VLOOKUP(K96,#REF!,2,FALSE))</f>
        <v>#REF!</v>
      </c>
      <c r="N96" s="24">
        <f>IF(L96="",0,VLOOKUP(L96,#REF!,2,FALSE))</f>
        <v>0</v>
      </c>
      <c r="O96" s="24" t="e">
        <f t="shared" si="4"/>
        <v>#REF!</v>
      </c>
      <c r="P96" s="24" t="e">
        <f>IF(F96="Barrido","",O96)</f>
        <v>#REF!</v>
      </c>
      <c r="Q96" s="24" t="str">
        <f>IF(F96="Barrido",O96,"")</f>
        <v/>
      </c>
      <c r="R96" s="24">
        <f>IF(I96&lt;&gt;"0",I96,"")</f>
        <v>0</v>
      </c>
      <c r="S96" s="22">
        <f>IF(J96&lt;&gt;"0",J96,"")</f>
        <v>0</v>
      </c>
      <c r="T96" s="23">
        <v>4</v>
      </c>
      <c r="U96" s="23">
        <v>2.6</v>
      </c>
      <c r="V96" s="23">
        <v>91</v>
      </c>
      <c r="W96" s="23">
        <v>1011</v>
      </c>
      <c r="X96" s="23">
        <v>4.0999999999999996</v>
      </c>
    </row>
    <row r="97" spans="1:24" x14ac:dyDescent="0.2">
      <c r="A97" s="18">
        <v>45841</v>
      </c>
      <c r="B97" s="19" t="e">
        <f>IF(A97="","",VLOOKUP(Planilla!A97,#REF!,2,FALSE))</f>
        <v>#REF!</v>
      </c>
      <c r="C97" s="19" t="e">
        <f>IF(B97="","",VLOOKUP(Planilla!A97,#REF!,3,FALSE))</f>
        <v>#REF!</v>
      </c>
      <c r="D97" s="20" t="s">
        <v>30</v>
      </c>
      <c r="E97" s="21" t="s">
        <v>43</v>
      </c>
      <c r="F97" s="21" t="s">
        <v>52</v>
      </c>
      <c r="G97" s="21" t="s">
        <v>53</v>
      </c>
      <c r="H97" s="21" t="s">
        <v>54</v>
      </c>
      <c r="I97" s="36"/>
      <c r="J97" s="36">
        <v>500</v>
      </c>
      <c r="K97" s="21" t="s">
        <v>59</v>
      </c>
      <c r="L97" s="21"/>
      <c r="M97" s="24" t="e">
        <f>IF(K97="",0,VLOOKUP(K97,#REF!,2,FALSE))</f>
        <v>#REF!</v>
      </c>
      <c r="N97" s="24">
        <f>IF(L97="",0,VLOOKUP(L97,#REF!,2,FALSE))</f>
        <v>0</v>
      </c>
      <c r="O97" s="24" t="e">
        <f t="shared" si="4"/>
        <v>#REF!</v>
      </c>
      <c r="P97" s="24" t="e">
        <f>IF(F97="Barrido","",O97)</f>
        <v>#REF!</v>
      </c>
      <c r="Q97" s="24" t="str">
        <f>IF(F97="Barrido",O97,"")</f>
        <v/>
      </c>
      <c r="R97" s="24">
        <f>IF(I97&lt;&gt;"0",I97,"")</f>
        <v>0</v>
      </c>
      <c r="S97" s="22">
        <f>IF(J97&lt;&gt;"0",J97,"")</f>
        <v>500</v>
      </c>
      <c r="T97" s="23">
        <v>-1</v>
      </c>
      <c r="U97" s="23">
        <v>-2</v>
      </c>
      <c r="V97" s="23">
        <v>91</v>
      </c>
      <c r="W97" s="23">
        <v>1019.6</v>
      </c>
      <c r="X97" s="23">
        <v>11.9</v>
      </c>
    </row>
    <row r="98" spans="1:24" x14ac:dyDescent="0.2">
      <c r="A98" s="18">
        <v>45841</v>
      </c>
      <c r="B98" s="19" t="e">
        <f>IF(A98="","",VLOOKUP(Planilla!A98,#REF!,2,FALSE))</f>
        <v>#REF!</v>
      </c>
      <c r="C98" s="19" t="e">
        <f>IF(B98="","",VLOOKUP(Planilla!A98,#REF!,3,FALSE))</f>
        <v>#REF!</v>
      </c>
      <c r="D98" s="20" t="s">
        <v>30</v>
      </c>
      <c r="E98" s="21" t="s">
        <v>43</v>
      </c>
      <c r="F98" s="21" t="s">
        <v>52</v>
      </c>
      <c r="G98" s="21" t="s">
        <v>53</v>
      </c>
      <c r="H98" s="21" t="s">
        <v>72</v>
      </c>
      <c r="I98" s="36"/>
      <c r="J98" s="36">
        <v>200</v>
      </c>
      <c r="K98" s="21" t="s">
        <v>50</v>
      </c>
      <c r="L98" s="21"/>
      <c r="M98" s="24" t="e">
        <f>IF(K98="",0,VLOOKUP(K98,#REF!,2,FALSE))</f>
        <v>#REF!</v>
      </c>
      <c r="N98" s="24">
        <f>IF(L98="",0,VLOOKUP(L98,#REF!,2,FALSE))</f>
        <v>0</v>
      </c>
      <c r="O98" s="24" t="e">
        <f t="shared" si="4"/>
        <v>#REF!</v>
      </c>
      <c r="P98" s="24" t="e">
        <f>IF(F98="Barrido","",O98)</f>
        <v>#REF!</v>
      </c>
      <c r="Q98" s="24" t="str">
        <f>IF(F98="Barrido",O98,"")</f>
        <v/>
      </c>
      <c r="R98" s="24">
        <f>IF(I98&lt;&gt;"0",I98,"")</f>
        <v>0</v>
      </c>
      <c r="S98" s="22">
        <f>IF(J98&lt;&gt;"0",J98,"")</f>
        <v>200</v>
      </c>
      <c r="T98" s="23">
        <v>-1</v>
      </c>
      <c r="U98" s="23">
        <v>-2</v>
      </c>
      <c r="V98" s="23">
        <v>94</v>
      </c>
      <c r="W98" s="23">
        <v>1019.4</v>
      </c>
      <c r="X98" s="23">
        <v>5.4</v>
      </c>
    </row>
    <row r="99" spans="1:24" x14ac:dyDescent="0.2">
      <c r="A99" s="18">
        <v>45841</v>
      </c>
      <c r="B99" s="19" t="e">
        <f>IF(A99="","",VLOOKUP(Planilla!A99,#REF!,2,FALSE))</f>
        <v>#REF!</v>
      </c>
      <c r="C99" s="19" t="e">
        <f>IF(B99="","",VLOOKUP(Planilla!A99,#REF!,3,FALSE))</f>
        <v>#REF!</v>
      </c>
      <c r="D99" s="20" t="s">
        <v>30</v>
      </c>
      <c r="E99" s="21" t="s">
        <v>43</v>
      </c>
      <c r="F99" s="21" t="s">
        <v>39</v>
      </c>
      <c r="G99" s="21" t="s">
        <v>40</v>
      </c>
      <c r="H99" s="21" t="s">
        <v>41</v>
      </c>
      <c r="I99" s="36"/>
      <c r="J99" s="36"/>
      <c r="K99" s="21" t="s">
        <v>42</v>
      </c>
      <c r="L99" s="21"/>
      <c r="M99" s="24" t="e">
        <f>IF(K99="",0,VLOOKUP(K99,#REF!,2,FALSE))</f>
        <v>#REF!</v>
      </c>
      <c r="N99" s="24">
        <f>IF(L99="",0,VLOOKUP(L99,#REF!,2,FALSE))</f>
        <v>0</v>
      </c>
      <c r="O99" s="24" t="e">
        <f t="shared" ref="O99" si="6">M99+N99</f>
        <v>#REF!</v>
      </c>
      <c r="P99" s="24" t="e">
        <f>IF(F99="Barrido","",O99)</f>
        <v>#REF!</v>
      </c>
      <c r="Q99" s="24" t="str">
        <f>IF(F99="Barrido",O99,"")</f>
        <v/>
      </c>
      <c r="R99" s="24">
        <f>IF(I99&lt;&gt;"0",I99,"")</f>
        <v>0</v>
      </c>
      <c r="S99" s="22">
        <f>IF(J99&lt;&gt;"0",J99,"")</f>
        <v>0</v>
      </c>
      <c r="T99" s="23">
        <v>-1</v>
      </c>
      <c r="U99" s="23">
        <v>-2</v>
      </c>
      <c r="V99" s="23">
        <v>93</v>
      </c>
      <c r="W99" s="23">
        <v>1019.4</v>
      </c>
      <c r="X99" s="23">
        <v>5.4</v>
      </c>
    </row>
    <row r="100" spans="1:24" x14ac:dyDescent="0.2">
      <c r="A100" s="18">
        <v>45842</v>
      </c>
      <c r="B100" s="19" t="e">
        <f>IF(A100="","",VLOOKUP(Planilla!A100,#REF!,2,FALSE))</f>
        <v>#REF!</v>
      </c>
      <c r="C100" s="19" t="e">
        <f>IF(B100="","",VLOOKUP(Planilla!A100,#REF!,3,FALSE))</f>
        <v>#REF!</v>
      </c>
      <c r="D100" s="20" t="s">
        <v>30</v>
      </c>
      <c r="E100" s="21" t="s">
        <v>43</v>
      </c>
      <c r="F100" s="21" t="s">
        <v>52</v>
      </c>
      <c r="G100" s="21" t="s">
        <v>53</v>
      </c>
      <c r="H100" s="21" t="s">
        <v>54</v>
      </c>
      <c r="I100" s="36"/>
      <c r="J100" s="36">
        <v>1800</v>
      </c>
      <c r="K100" s="21" t="s">
        <v>37</v>
      </c>
      <c r="L100" s="21"/>
      <c r="M100" s="24" t="e">
        <f>IF(K100="",0,VLOOKUP(K100,#REF!,2,FALSE))</f>
        <v>#REF!</v>
      </c>
      <c r="N100" s="24">
        <f>IF(L100="",0,VLOOKUP(L100,#REF!,2,FALSE))</f>
        <v>0</v>
      </c>
      <c r="O100" s="24" t="e">
        <f t="shared" si="4"/>
        <v>#REF!</v>
      </c>
      <c r="P100" s="24" t="e">
        <f>IF(F100="Barrido","",O100)</f>
        <v>#REF!</v>
      </c>
      <c r="Q100" s="24" t="str">
        <f>IF(F100="Barrido",O100,"")</f>
        <v/>
      </c>
      <c r="R100" s="24">
        <f>IF(I100&lt;&gt;"0",I100,"")</f>
        <v>0</v>
      </c>
      <c r="S100" s="22">
        <f>IF(J100&lt;&gt;"0",J100,"")</f>
        <v>1800</v>
      </c>
      <c r="T100" s="23">
        <v>-1.3</v>
      </c>
      <c r="U100" s="23">
        <v>-2</v>
      </c>
      <c r="V100" s="23">
        <v>91</v>
      </c>
      <c r="W100" s="23">
        <v>1019.6</v>
      </c>
      <c r="X100" s="23">
        <v>5.4</v>
      </c>
    </row>
    <row r="101" spans="1:24" x14ac:dyDescent="0.2">
      <c r="A101" s="18">
        <v>45842</v>
      </c>
      <c r="B101" s="19" t="e">
        <f>IF(A101="","",VLOOKUP(Planilla!A101,#REF!,2,FALSE))</f>
        <v>#REF!</v>
      </c>
      <c r="C101" s="19" t="e">
        <f>IF(B101="","",VLOOKUP(Planilla!A101,#REF!,3,FALSE))</f>
        <v>#REF!</v>
      </c>
      <c r="D101" s="20" t="s">
        <v>30</v>
      </c>
      <c r="E101" s="21" t="s">
        <v>43</v>
      </c>
      <c r="F101" s="21" t="s">
        <v>39</v>
      </c>
      <c r="G101" s="21" t="s">
        <v>40</v>
      </c>
      <c r="H101" s="21" t="s">
        <v>41</v>
      </c>
      <c r="I101" s="36"/>
      <c r="J101" s="36"/>
      <c r="K101" s="21" t="s">
        <v>42</v>
      </c>
      <c r="L101" s="21"/>
      <c r="M101" s="24" t="e">
        <f>IF(K101="",0,VLOOKUP(K101,#REF!,2,FALSE))</f>
        <v>#REF!</v>
      </c>
      <c r="N101" s="24">
        <f>IF(L101="",0,VLOOKUP(L101,#REF!,2,FALSE))</f>
        <v>0</v>
      </c>
      <c r="O101" s="24" t="e">
        <f t="shared" si="4"/>
        <v>#REF!</v>
      </c>
      <c r="P101" s="24" t="e">
        <f>IF(F101="Barrido","",O101)</f>
        <v>#REF!</v>
      </c>
      <c r="Q101" s="24" t="str">
        <f>IF(F101="Barrido",O101,"")</f>
        <v/>
      </c>
      <c r="R101" s="24">
        <f>IF(I101&lt;&gt;"0",I101,"")</f>
        <v>0</v>
      </c>
      <c r="S101" s="22">
        <f>IF(J101&lt;&gt;"0",J101,"")</f>
        <v>0</v>
      </c>
      <c r="T101" s="23">
        <v>-1.8</v>
      </c>
      <c r="U101" s="23">
        <v>-3</v>
      </c>
      <c r="V101" s="23">
        <v>93</v>
      </c>
      <c r="W101" s="23">
        <v>1019.9</v>
      </c>
      <c r="X101" s="23">
        <v>10.4</v>
      </c>
    </row>
    <row r="102" spans="1:24" x14ac:dyDescent="0.2">
      <c r="A102" s="18">
        <v>45842</v>
      </c>
      <c r="B102" s="19" t="e">
        <f>IF(A102="","",VLOOKUP(Planilla!A102,#REF!,2,FALSE))</f>
        <v>#REF!</v>
      </c>
      <c r="C102" s="19" t="e">
        <f>IF(B102="","",VLOOKUP(Planilla!A102,#REF!,3,FALSE))</f>
        <v>#REF!</v>
      </c>
      <c r="D102" s="20" t="s">
        <v>30</v>
      </c>
      <c r="E102" s="21" t="s">
        <v>51</v>
      </c>
      <c r="F102" s="21" t="s">
        <v>39</v>
      </c>
      <c r="G102" s="21" t="s">
        <v>40</v>
      </c>
      <c r="H102" s="21" t="s">
        <v>41</v>
      </c>
      <c r="I102" s="36"/>
      <c r="J102" s="36"/>
      <c r="K102" s="21" t="s">
        <v>42</v>
      </c>
      <c r="L102" s="21"/>
      <c r="M102" s="24" t="e">
        <f>IF(K102="",0,VLOOKUP(K102,#REF!,2,FALSE))</f>
        <v>#REF!</v>
      </c>
      <c r="N102" s="24">
        <f>IF(L102="",0,VLOOKUP(L102,#REF!,2,FALSE))</f>
        <v>0</v>
      </c>
      <c r="O102" s="24" t="e">
        <f t="shared" si="4"/>
        <v>#REF!</v>
      </c>
      <c r="P102" s="24" t="e">
        <f>IF(F102="Barrido","",O102)</f>
        <v>#REF!</v>
      </c>
      <c r="Q102" s="24" t="str">
        <f>IF(F102="Barrido",O102,"")</f>
        <v/>
      </c>
      <c r="R102" s="24">
        <f>IF(I102&lt;&gt;"0",I102,"")</f>
        <v>0</v>
      </c>
      <c r="S102" s="22">
        <f>IF(J102&lt;&gt;"0",J102,"")</f>
        <v>0</v>
      </c>
      <c r="T102" s="23">
        <v>-2.6</v>
      </c>
      <c r="U102" s="23">
        <v>-3</v>
      </c>
      <c r="V102" s="23">
        <v>95</v>
      </c>
      <c r="W102" s="23">
        <v>1021</v>
      </c>
      <c r="X102" s="23">
        <v>7.2</v>
      </c>
    </row>
    <row r="103" spans="1:24" x14ac:dyDescent="0.2">
      <c r="A103" s="18">
        <v>45842</v>
      </c>
      <c r="B103" s="19" t="e">
        <f>IF(A103="","",VLOOKUP(Planilla!A103,#REF!,2,FALSE))</f>
        <v>#REF!</v>
      </c>
      <c r="C103" s="19" t="e">
        <f>IF(B103="","",VLOOKUP(Planilla!A103,#REF!,3,FALSE))</f>
        <v>#REF!</v>
      </c>
      <c r="D103" s="20" t="s">
        <v>30</v>
      </c>
      <c r="E103" s="21" t="s">
        <v>51</v>
      </c>
      <c r="F103" s="21" t="s">
        <v>52</v>
      </c>
      <c r="G103" s="21" t="s">
        <v>53</v>
      </c>
      <c r="H103" s="21" t="s">
        <v>72</v>
      </c>
      <c r="I103" s="36"/>
      <c r="J103" s="36">
        <v>400</v>
      </c>
      <c r="K103" s="21" t="s">
        <v>73</v>
      </c>
      <c r="L103" s="21" t="s">
        <v>50</v>
      </c>
      <c r="M103" s="24" t="e">
        <f>IF(K103="",0,VLOOKUP(K103,#REF!,2,FALSE))</f>
        <v>#REF!</v>
      </c>
      <c r="N103" s="24" t="e">
        <f>IF(L103="",0,VLOOKUP(L103,#REF!,2,FALSE))</f>
        <v>#REF!</v>
      </c>
      <c r="O103" s="24" t="e">
        <f t="shared" si="4"/>
        <v>#REF!</v>
      </c>
      <c r="P103" s="24" t="e">
        <f>IF(F103="Barrido","",O103)</f>
        <v>#REF!</v>
      </c>
      <c r="Q103" s="24" t="str">
        <f>IF(F103="Barrido",O103,"")</f>
        <v/>
      </c>
      <c r="R103" s="24">
        <f>IF(I103&lt;&gt;"0",I103,"")</f>
        <v>0</v>
      </c>
      <c r="S103" s="22">
        <f>IF(J103&lt;&gt;"0",J103,"")</f>
        <v>400</v>
      </c>
      <c r="T103" s="23">
        <v>-2.6</v>
      </c>
      <c r="U103" s="23">
        <v>-3</v>
      </c>
      <c r="V103" s="23">
        <v>94</v>
      </c>
      <c r="W103" s="23">
        <v>1020</v>
      </c>
      <c r="X103" s="23">
        <v>4.3</v>
      </c>
    </row>
    <row r="104" spans="1:24" x14ac:dyDescent="0.2">
      <c r="A104" s="18">
        <v>45842</v>
      </c>
      <c r="B104" s="19" t="e">
        <f>IF(A104="","",VLOOKUP(Planilla!A104,#REF!,2,FALSE))</f>
        <v>#REF!</v>
      </c>
      <c r="C104" s="19" t="e">
        <f>IF(B104="","",VLOOKUP(Planilla!A104,#REF!,3,FALSE))</f>
        <v>#REF!</v>
      </c>
      <c r="D104" s="20" t="s">
        <v>30</v>
      </c>
      <c r="E104" s="21" t="s">
        <v>51</v>
      </c>
      <c r="F104" s="21" t="s">
        <v>39</v>
      </c>
      <c r="G104" s="21" t="s">
        <v>40</v>
      </c>
      <c r="H104" s="21" t="s">
        <v>41</v>
      </c>
      <c r="I104" s="36"/>
      <c r="J104" s="36"/>
      <c r="K104" s="21" t="s">
        <v>42</v>
      </c>
      <c r="L104" s="21"/>
      <c r="M104" s="24" t="e">
        <f>IF(K104="",0,VLOOKUP(K104,#REF!,2,FALSE))</f>
        <v>#REF!</v>
      </c>
      <c r="N104" s="24">
        <f>IF(L104="",0,VLOOKUP(L104,#REF!,2,FALSE))</f>
        <v>0</v>
      </c>
      <c r="O104" s="24" t="e">
        <f t="shared" si="4"/>
        <v>#REF!</v>
      </c>
      <c r="P104" s="24" t="e">
        <f>IF(F104="Barrido","",O104)</f>
        <v>#REF!</v>
      </c>
      <c r="Q104" s="24" t="str">
        <f>IF(F104="Barrido",O104,"")</f>
        <v/>
      </c>
      <c r="R104" s="24">
        <f>IF(I104&lt;&gt;"0",I104,"")</f>
        <v>0</v>
      </c>
      <c r="S104" s="22">
        <f>IF(J104&lt;&gt;"0",J104,"")</f>
        <v>0</v>
      </c>
      <c r="T104" s="23">
        <v>-1.1000000000000001</v>
      </c>
      <c r="U104" s="23">
        <v>-2</v>
      </c>
      <c r="V104" s="23">
        <v>91</v>
      </c>
      <c r="W104" s="23">
        <v>1021.6</v>
      </c>
      <c r="X104" s="23">
        <v>11</v>
      </c>
    </row>
    <row r="105" spans="1:24" x14ac:dyDescent="0.2">
      <c r="A105" s="18">
        <v>45842</v>
      </c>
      <c r="B105" s="19" t="e">
        <f>IF(A105="","",VLOOKUP(Planilla!A105,#REF!,2,FALSE))</f>
        <v>#REF!</v>
      </c>
      <c r="C105" s="19" t="e">
        <f>IF(B105="","",VLOOKUP(Planilla!A105,#REF!,3,FALSE))</f>
        <v>#REF!</v>
      </c>
      <c r="D105" s="20" t="s">
        <v>30</v>
      </c>
      <c r="E105" s="21" t="s">
        <v>60</v>
      </c>
      <c r="F105" s="21" t="s">
        <v>47</v>
      </c>
      <c r="G105" s="21" t="s">
        <v>48</v>
      </c>
      <c r="H105" s="21" t="s">
        <v>49</v>
      </c>
      <c r="I105" s="36"/>
      <c r="J105" s="36"/>
      <c r="K105" s="21" t="s">
        <v>50</v>
      </c>
      <c r="L105" s="21"/>
      <c r="M105" s="24" t="e">
        <f>IF(K105="",0,VLOOKUP(K105,#REF!,2,FALSE))</f>
        <v>#REF!</v>
      </c>
      <c r="N105" s="24">
        <f>IF(L105="",0,VLOOKUP(L105,#REF!,2,FALSE))</f>
        <v>0</v>
      </c>
      <c r="O105" s="24" t="e">
        <f t="shared" si="4"/>
        <v>#REF!</v>
      </c>
      <c r="P105" s="24" t="str">
        <f>IF(F105="Barrido","",O105)</f>
        <v/>
      </c>
      <c r="Q105" s="24" t="e">
        <f>IF(F105="Barrido",O105,"")</f>
        <v>#REF!</v>
      </c>
      <c r="R105" s="24">
        <f>IF(I105&lt;&gt;"0",I105,"")</f>
        <v>0</v>
      </c>
      <c r="S105" s="22">
        <f>IF(J105&lt;&gt;"0",J105,"")</f>
        <v>0</v>
      </c>
      <c r="T105" s="23">
        <v>2</v>
      </c>
      <c r="U105" s="23">
        <v>-1</v>
      </c>
      <c r="V105" s="23">
        <v>93</v>
      </c>
      <c r="W105" s="23">
        <v>1025.7</v>
      </c>
      <c r="X105" s="23">
        <v>7.6</v>
      </c>
    </row>
    <row r="106" spans="1:24" x14ac:dyDescent="0.2">
      <c r="A106" s="18">
        <v>45842</v>
      </c>
      <c r="B106" s="19" t="e">
        <f>IF(A106="","",VLOOKUP(Planilla!A106,#REF!,2,FALSE))</f>
        <v>#REF!</v>
      </c>
      <c r="C106" s="19" t="e">
        <f>IF(B106="","",VLOOKUP(Planilla!A106,#REF!,3,FALSE))</f>
        <v>#REF!</v>
      </c>
      <c r="D106" s="20" t="s">
        <v>30</v>
      </c>
      <c r="E106" s="21" t="s">
        <v>43</v>
      </c>
      <c r="F106" s="21" t="s">
        <v>32</v>
      </c>
      <c r="G106" s="21" t="s">
        <v>65</v>
      </c>
      <c r="H106" s="21" t="s">
        <v>34</v>
      </c>
      <c r="I106" s="36">
        <v>225</v>
      </c>
      <c r="J106" s="36"/>
      <c r="K106" s="21" t="s">
        <v>50</v>
      </c>
      <c r="L106" s="21"/>
      <c r="M106" s="24" t="e">
        <f>IF(K106="",0,VLOOKUP(K106,#REF!,2,FALSE))</f>
        <v>#REF!</v>
      </c>
      <c r="N106" s="24">
        <f>IF(L106="",0,VLOOKUP(L106,#REF!,2,FALSE))</f>
        <v>0</v>
      </c>
      <c r="O106" s="24" t="e">
        <f t="shared" si="4"/>
        <v>#REF!</v>
      </c>
      <c r="P106" s="24" t="e">
        <f>IF(F106="Barrido","",O106)</f>
        <v>#REF!</v>
      </c>
      <c r="Q106" s="24" t="str">
        <f>IF(F106="Barrido",O106,"")</f>
        <v/>
      </c>
      <c r="R106" s="24">
        <f>IF(I106&lt;&gt;"0",I106,"")</f>
        <v>225</v>
      </c>
      <c r="S106" s="22">
        <f>IF(J106&lt;&gt;"0",J106,"")</f>
        <v>0</v>
      </c>
      <c r="T106" s="23">
        <v>2</v>
      </c>
      <c r="U106" s="23">
        <v>-1</v>
      </c>
      <c r="V106" s="23">
        <v>93</v>
      </c>
      <c r="W106" s="23">
        <v>1025.8</v>
      </c>
      <c r="X106" s="23">
        <v>7</v>
      </c>
    </row>
    <row r="107" spans="1:24" x14ac:dyDescent="0.2">
      <c r="A107" s="18">
        <v>45842</v>
      </c>
      <c r="B107" s="19" t="e">
        <f>IF(A107="","",VLOOKUP(Planilla!A107,#REF!,2,FALSE))</f>
        <v>#REF!</v>
      </c>
      <c r="C107" s="19" t="e">
        <f>IF(B107="","",VLOOKUP(Planilla!A107,#REF!,3,FALSE))</f>
        <v>#REF!</v>
      </c>
      <c r="D107" s="20" t="s">
        <v>30</v>
      </c>
      <c r="E107" s="21" t="s">
        <v>43</v>
      </c>
      <c r="F107" s="21" t="s">
        <v>39</v>
      </c>
      <c r="G107" s="21" t="s">
        <v>40</v>
      </c>
      <c r="H107" s="21" t="s">
        <v>41</v>
      </c>
      <c r="I107" s="36"/>
      <c r="J107" s="36"/>
      <c r="K107" s="21" t="s">
        <v>42</v>
      </c>
      <c r="L107" s="21"/>
      <c r="M107" s="24" t="e">
        <f>IF(K107="",0,VLOOKUP(K107,#REF!,2,FALSE))</f>
        <v>#REF!</v>
      </c>
      <c r="N107" s="24">
        <f>IF(L107="",0,VLOOKUP(L107,#REF!,2,FALSE))</f>
        <v>0</v>
      </c>
      <c r="O107" s="24" t="e">
        <f t="shared" si="4"/>
        <v>#REF!</v>
      </c>
      <c r="P107" s="24" t="e">
        <f>IF(F107="Barrido","",O107)</f>
        <v>#REF!</v>
      </c>
      <c r="Q107" s="24" t="str">
        <f>IF(F107="Barrido",O107,"")</f>
        <v/>
      </c>
      <c r="R107" s="24">
        <f>IF(I107&lt;&gt;"0",I107,"")</f>
        <v>0</v>
      </c>
      <c r="S107" s="22">
        <f>IF(J107&lt;&gt;"0",J107,"")</f>
        <v>0</v>
      </c>
      <c r="T107" s="23">
        <v>1</v>
      </c>
      <c r="U107" s="23">
        <v>-1</v>
      </c>
      <c r="V107" s="23">
        <v>95</v>
      </c>
      <c r="W107" s="23">
        <v>1026.5</v>
      </c>
      <c r="X107" s="23">
        <v>5</v>
      </c>
    </row>
    <row r="108" spans="1:24" x14ac:dyDescent="0.2">
      <c r="A108" s="18">
        <v>45842</v>
      </c>
      <c r="B108" s="19" t="e">
        <f>IF(A108="","",VLOOKUP(Planilla!A108,#REF!,2,FALSE))</f>
        <v>#REF!</v>
      </c>
      <c r="C108" s="19" t="e">
        <f>IF(B108="","",VLOOKUP(Planilla!A108,#REF!,3,FALSE))</f>
        <v>#REF!</v>
      </c>
      <c r="D108" s="20" t="s">
        <v>30</v>
      </c>
      <c r="E108" s="21" t="s">
        <v>51</v>
      </c>
      <c r="F108" s="21" t="s">
        <v>39</v>
      </c>
      <c r="G108" s="21" t="s">
        <v>40</v>
      </c>
      <c r="H108" s="21" t="s">
        <v>41</v>
      </c>
      <c r="I108" s="36"/>
      <c r="J108" s="36"/>
      <c r="K108" s="21" t="s">
        <v>42</v>
      </c>
      <c r="L108" s="21"/>
      <c r="M108" s="24" t="e">
        <f>IF(K108="",0,VLOOKUP(K108,#REF!,2,FALSE))</f>
        <v>#REF!</v>
      </c>
      <c r="N108" s="24">
        <f>IF(L108="",0,VLOOKUP(L108,#REF!,2,FALSE))</f>
        <v>0</v>
      </c>
      <c r="O108" s="24" t="e">
        <f t="shared" si="4"/>
        <v>#REF!</v>
      </c>
      <c r="P108" s="24" t="e">
        <f>IF(F108="Barrido","",O108)</f>
        <v>#REF!</v>
      </c>
      <c r="Q108" s="24" t="str">
        <f>IF(F108="Barrido",O108,"")</f>
        <v/>
      </c>
      <c r="R108" s="24">
        <f>IF(I108&lt;&gt;"0",I108,"")</f>
        <v>0</v>
      </c>
      <c r="S108" s="22">
        <f>IF(J108&lt;&gt;"0",J108,"")</f>
        <v>0</v>
      </c>
      <c r="T108" s="23">
        <v>-0.7</v>
      </c>
      <c r="U108" s="23">
        <v>-2</v>
      </c>
      <c r="V108" s="23">
        <v>91</v>
      </c>
      <c r="W108" s="23">
        <v>1017.7</v>
      </c>
      <c r="X108" s="23">
        <v>21</v>
      </c>
    </row>
    <row r="109" spans="1:24" x14ac:dyDescent="0.2">
      <c r="A109" s="18">
        <v>45843</v>
      </c>
      <c r="B109" s="19" t="e">
        <f>IF(A109="","",VLOOKUP(Planilla!A109,#REF!,2,FALSE))</f>
        <v>#REF!</v>
      </c>
      <c r="C109" s="19" t="e">
        <f>IF(B109="","",VLOOKUP(Planilla!A109,#REF!,3,FALSE))</f>
        <v>#REF!</v>
      </c>
      <c r="D109" s="20" t="s">
        <v>30</v>
      </c>
      <c r="E109" s="21" t="s">
        <v>51</v>
      </c>
      <c r="F109" s="21" t="s">
        <v>52</v>
      </c>
      <c r="G109" s="21" t="s">
        <v>53</v>
      </c>
      <c r="H109" s="21" t="s">
        <v>54</v>
      </c>
      <c r="I109" s="36"/>
      <c r="J109" s="36">
        <v>2800</v>
      </c>
      <c r="K109" s="21" t="s">
        <v>37</v>
      </c>
      <c r="L109" s="21"/>
      <c r="M109" s="24" t="e">
        <f>IF(K109="",0,VLOOKUP(K109,#REF!,2,FALSE))</f>
        <v>#REF!</v>
      </c>
      <c r="N109" s="24">
        <f>IF(L109="",0,VLOOKUP(L109,#REF!,2,FALSE))</f>
        <v>0</v>
      </c>
      <c r="O109" s="24" t="e">
        <f t="shared" si="4"/>
        <v>#REF!</v>
      </c>
      <c r="P109" s="24" t="e">
        <f>IF(F109="Barrido","",O109)</f>
        <v>#REF!</v>
      </c>
      <c r="Q109" s="24" t="str">
        <f>IF(F109="Barrido",O109,"")</f>
        <v/>
      </c>
      <c r="R109" s="24">
        <f>IF(I109&lt;&gt;"0",I109,"")</f>
        <v>0</v>
      </c>
      <c r="S109" s="22">
        <f>IF(J109&lt;&gt;"0",J109,"")</f>
        <v>2800</v>
      </c>
      <c r="T109" s="23">
        <v>-0.7</v>
      </c>
      <c r="U109" s="23">
        <v>-2</v>
      </c>
      <c r="V109" s="23">
        <v>91</v>
      </c>
      <c r="W109" s="23">
        <v>1017.7</v>
      </c>
      <c r="X109" s="23">
        <v>21</v>
      </c>
    </row>
    <row r="110" spans="1:24" x14ac:dyDescent="0.2">
      <c r="A110" s="18">
        <v>45843</v>
      </c>
      <c r="B110" s="19" t="e">
        <f>IF(A110="","",VLOOKUP(Planilla!A110,#REF!,2,FALSE))</f>
        <v>#REF!</v>
      </c>
      <c r="C110" s="19" t="e">
        <f>IF(B110="","",VLOOKUP(Planilla!A110,#REF!,3,FALSE))</f>
        <v>#REF!</v>
      </c>
      <c r="D110" s="20" t="s">
        <v>30</v>
      </c>
      <c r="E110" s="21" t="s">
        <v>51</v>
      </c>
      <c r="F110" s="21" t="s">
        <v>32</v>
      </c>
      <c r="G110" s="21" t="s">
        <v>65</v>
      </c>
      <c r="H110" s="21" t="s">
        <v>34</v>
      </c>
      <c r="I110" s="36">
        <v>350</v>
      </c>
      <c r="J110" s="36"/>
      <c r="K110" s="21" t="s">
        <v>38</v>
      </c>
      <c r="L110" s="21"/>
      <c r="M110" s="24" t="e">
        <f>IF(K110="",0,VLOOKUP(K110,#REF!,2,FALSE))</f>
        <v>#REF!</v>
      </c>
      <c r="N110" s="24">
        <f>IF(L110="",0,VLOOKUP(L110,#REF!,2,FALSE))</f>
        <v>0</v>
      </c>
      <c r="O110" s="24" t="e">
        <f t="shared" si="4"/>
        <v>#REF!</v>
      </c>
      <c r="P110" s="24" t="e">
        <f>IF(F110="Barrido","",O110)</f>
        <v>#REF!</v>
      </c>
      <c r="Q110" s="24" t="str">
        <f>IF(F110="Barrido",O110,"")</f>
        <v/>
      </c>
      <c r="R110" s="24">
        <f>IF(I110&lt;&gt;"0",I110,"")</f>
        <v>350</v>
      </c>
      <c r="S110" s="22">
        <f>IF(J110&lt;&gt;"0",J110,"")</f>
        <v>0</v>
      </c>
      <c r="T110" s="23">
        <v>-2.1</v>
      </c>
      <c r="U110" s="23">
        <v>-3</v>
      </c>
      <c r="V110" s="23">
        <v>91</v>
      </c>
      <c r="W110" s="23">
        <v>1018</v>
      </c>
      <c r="X110" s="23">
        <v>17</v>
      </c>
    </row>
    <row r="111" spans="1:24" x14ac:dyDescent="0.2">
      <c r="A111" s="18">
        <v>45843</v>
      </c>
      <c r="B111" s="19" t="e">
        <f>IF(A111="","",VLOOKUP(Planilla!A111,#REF!,2,FALSE))</f>
        <v>#REF!</v>
      </c>
      <c r="C111" s="19" t="e">
        <f>IF(B111="","",VLOOKUP(Planilla!A111,#REF!,3,FALSE))</f>
        <v>#REF!</v>
      </c>
      <c r="D111" s="20" t="s">
        <v>30</v>
      </c>
      <c r="E111" s="21" t="s">
        <v>51</v>
      </c>
      <c r="F111" s="21" t="s">
        <v>39</v>
      </c>
      <c r="G111" s="21" t="s">
        <v>40</v>
      </c>
      <c r="H111" s="21" t="s">
        <v>41</v>
      </c>
      <c r="I111" s="36"/>
      <c r="J111" s="36"/>
      <c r="K111" s="21" t="s">
        <v>42</v>
      </c>
      <c r="L111" s="21"/>
      <c r="M111" s="24" t="e">
        <f>IF(K111="",0,VLOOKUP(K111,#REF!,2,FALSE))</f>
        <v>#REF!</v>
      </c>
      <c r="N111" s="24">
        <f>IF(L111="",0,VLOOKUP(L111,#REF!,2,FALSE))</f>
        <v>0</v>
      </c>
      <c r="O111" s="24" t="e">
        <f t="shared" si="4"/>
        <v>#REF!</v>
      </c>
      <c r="P111" s="24" t="e">
        <f>IF(F111="Barrido","",O111)</f>
        <v>#REF!</v>
      </c>
      <c r="Q111" s="24" t="str">
        <f>IF(F111="Barrido",O111,"")</f>
        <v/>
      </c>
      <c r="R111" s="24">
        <f>IF(I111&lt;&gt;"0",I111,"")</f>
        <v>0</v>
      </c>
      <c r="S111" s="22">
        <f>IF(J111&lt;&gt;"0",J111,"")</f>
        <v>0</v>
      </c>
      <c r="T111" s="23">
        <v>-3.7</v>
      </c>
      <c r="U111" s="23">
        <v>-4</v>
      </c>
      <c r="V111" s="23">
        <v>98</v>
      </c>
      <c r="W111" s="23">
        <v>1017.5</v>
      </c>
      <c r="X111" s="23">
        <v>15</v>
      </c>
    </row>
    <row r="112" spans="1:24" x14ac:dyDescent="0.2">
      <c r="A112" s="18">
        <v>45843</v>
      </c>
      <c r="B112" s="19" t="e">
        <f>IF(A112="","",VLOOKUP(Planilla!A112,#REF!,2,FALSE))</f>
        <v>#REF!</v>
      </c>
      <c r="C112" s="19" t="e">
        <f>IF(B112="","",VLOOKUP(Planilla!A112,#REF!,3,FALSE))</f>
        <v>#REF!</v>
      </c>
      <c r="D112" s="20" t="s">
        <v>30</v>
      </c>
      <c r="E112" s="21" t="s">
        <v>51</v>
      </c>
      <c r="F112" s="21" t="s">
        <v>52</v>
      </c>
      <c r="G112" s="21" t="s">
        <v>65</v>
      </c>
      <c r="H112" s="21" t="s">
        <v>54</v>
      </c>
      <c r="I112" s="36"/>
      <c r="J112" s="36">
        <v>600</v>
      </c>
      <c r="K112" s="21" t="s">
        <v>50</v>
      </c>
      <c r="L112" s="21"/>
      <c r="M112" s="24" t="e">
        <f>IF(K112="",0,VLOOKUP(K112,#REF!,2,FALSE))</f>
        <v>#REF!</v>
      </c>
      <c r="N112" s="24">
        <f>IF(L112="",0,VLOOKUP(L112,#REF!,2,FALSE))</f>
        <v>0</v>
      </c>
      <c r="O112" s="24" t="e">
        <f t="shared" si="4"/>
        <v>#REF!</v>
      </c>
      <c r="P112" s="24" t="e">
        <f>IF(F112="Barrido","",O112)</f>
        <v>#REF!</v>
      </c>
      <c r="Q112" s="24" t="str">
        <f>IF(F112="Barrido",O112,"")</f>
        <v/>
      </c>
      <c r="R112" s="24">
        <f>IF(I112&lt;&gt;"0",I112,"")</f>
        <v>0</v>
      </c>
      <c r="S112" s="22">
        <f>IF(J112&lt;&gt;"0",J112,"")</f>
        <v>600</v>
      </c>
      <c r="T112" s="23">
        <v>-3.5</v>
      </c>
      <c r="U112" s="23"/>
      <c r="V112" s="23">
        <v>99</v>
      </c>
      <c r="W112" s="23">
        <v>1025</v>
      </c>
      <c r="X112" s="23">
        <v>2.2000000000000002</v>
      </c>
    </row>
    <row r="113" spans="1:24" x14ac:dyDescent="0.2">
      <c r="A113" s="18">
        <v>45843</v>
      </c>
      <c r="B113" s="19" t="e">
        <f>IF(A113="","",VLOOKUP(Planilla!A113,#REF!,2,FALSE))</f>
        <v>#REF!</v>
      </c>
      <c r="C113" s="19" t="e">
        <f>IF(B113="","",VLOOKUP(Planilla!A113,#REF!,3,FALSE))</f>
        <v>#REF!</v>
      </c>
      <c r="D113" s="20" t="s">
        <v>30</v>
      </c>
      <c r="E113" s="21" t="s">
        <v>43</v>
      </c>
      <c r="F113" s="21" t="s">
        <v>39</v>
      </c>
      <c r="G113" s="21" t="s">
        <v>40</v>
      </c>
      <c r="H113" s="21" t="s">
        <v>41</v>
      </c>
      <c r="I113" s="36"/>
      <c r="J113" s="36"/>
      <c r="K113" s="21" t="s">
        <v>42</v>
      </c>
      <c r="L113" s="21"/>
      <c r="M113" s="24" t="e">
        <f>IF(K113="",0,VLOOKUP(K113,#REF!,2,FALSE))</f>
        <v>#REF!</v>
      </c>
      <c r="N113" s="24">
        <f>IF(L113="",0,VLOOKUP(L113,#REF!,2,FALSE))</f>
        <v>0</v>
      </c>
      <c r="O113" s="24" t="e">
        <f t="shared" si="4"/>
        <v>#REF!</v>
      </c>
      <c r="P113" s="24" t="e">
        <f>IF(F113="Barrido","",O113)</f>
        <v>#REF!</v>
      </c>
      <c r="Q113" s="24" t="str">
        <f>IF(F113="Barrido",O113,"")</f>
        <v/>
      </c>
      <c r="R113" s="24">
        <f>IF(I113&lt;&gt;"0",I113,"")</f>
        <v>0</v>
      </c>
      <c r="S113" s="22">
        <f>IF(J113&lt;&gt;"0",J113,"")</f>
        <v>0</v>
      </c>
      <c r="T113" s="23">
        <v>-3.5</v>
      </c>
      <c r="U113" s="23"/>
      <c r="V113" s="23">
        <v>99</v>
      </c>
      <c r="W113" s="23">
        <v>1025</v>
      </c>
      <c r="X113" s="23">
        <v>2.2000000000000002</v>
      </c>
    </row>
    <row r="114" spans="1:24" x14ac:dyDescent="0.2">
      <c r="A114" s="18">
        <v>45844</v>
      </c>
      <c r="B114" s="19" t="e">
        <f>IF(A114="","",VLOOKUP(Planilla!A114,#REF!,2,FALSE))</f>
        <v>#REF!</v>
      </c>
      <c r="C114" s="19" t="e">
        <f>IF(B114="","",VLOOKUP(Planilla!A114,#REF!,3,FALSE))</f>
        <v>#REF!</v>
      </c>
      <c r="D114" s="20" t="s">
        <v>30</v>
      </c>
      <c r="E114" s="21" t="s">
        <v>51</v>
      </c>
      <c r="F114" s="21" t="s">
        <v>39</v>
      </c>
      <c r="G114" s="21" t="s">
        <v>40</v>
      </c>
      <c r="H114" s="21" t="s">
        <v>41</v>
      </c>
      <c r="I114" s="36"/>
      <c r="J114" s="36"/>
      <c r="K114" s="21" t="s">
        <v>42</v>
      </c>
      <c r="L114" s="21"/>
      <c r="M114" s="24" t="e">
        <f>IF(K114="",0,VLOOKUP(K114,#REF!,2,FALSE))</f>
        <v>#REF!</v>
      </c>
      <c r="N114" s="24">
        <f>IF(L114="",0,VLOOKUP(L114,#REF!,2,FALSE))</f>
        <v>0</v>
      </c>
      <c r="O114" s="24" t="e">
        <f t="shared" si="4"/>
        <v>#REF!</v>
      </c>
      <c r="P114" s="24" t="e">
        <f>IF(F114="Barrido","",O114)</f>
        <v>#REF!</v>
      </c>
      <c r="Q114" s="24" t="str">
        <f>IF(F114="Barrido",O114,"")</f>
        <v/>
      </c>
      <c r="R114" s="24">
        <f>IF(I114&lt;&gt;"0",I114,"")</f>
        <v>0</v>
      </c>
      <c r="S114" s="22">
        <f>IF(J114&lt;&gt;"0",J114,"")</f>
        <v>0</v>
      </c>
      <c r="T114" s="23">
        <v>-0.2</v>
      </c>
      <c r="U114" s="23">
        <v>-2</v>
      </c>
      <c r="V114" s="23">
        <v>94</v>
      </c>
      <c r="W114" s="23">
        <v>1015.3</v>
      </c>
      <c r="X114" s="23">
        <v>10</v>
      </c>
    </row>
    <row r="115" spans="1:24" x14ac:dyDescent="0.2">
      <c r="A115" s="18">
        <v>45844</v>
      </c>
      <c r="B115" s="19" t="e">
        <f>IF(A115="","",VLOOKUP(Planilla!A115,#REF!,2,FALSE))</f>
        <v>#REF!</v>
      </c>
      <c r="C115" s="19" t="e">
        <f>IF(B115="","",VLOOKUP(Planilla!A115,#REF!,3,FALSE))</f>
        <v>#REF!</v>
      </c>
      <c r="D115" s="20" t="s">
        <v>30</v>
      </c>
      <c r="E115" s="21" t="s">
        <v>51</v>
      </c>
      <c r="F115" s="21" t="s">
        <v>39</v>
      </c>
      <c r="G115" s="21" t="s">
        <v>40</v>
      </c>
      <c r="H115" s="21" t="s">
        <v>41</v>
      </c>
      <c r="I115" s="36"/>
      <c r="J115" s="36"/>
      <c r="K115" s="21" t="s">
        <v>42</v>
      </c>
      <c r="L115" s="21"/>
      <c r="M115" s="24" t="e">
        <f>IF(K115="",0,VLOOKUP(K115,#REF!,2,FALSE))</f>
        <v>#REF!</v>
      </c>
      <c r="N115" s="24">
        <f>IF(L115="",0,VLOOKUP(L115,#REF!,2,FALSE))</f>
        <v>0</v>
      </c>
      <c r="O115" s="24" t="e">
        <f t="shared" si="4"/>
        <v>#REF!</v>
      </c>
      <c r="P115" s="24" t="e">
        <f>IF(F115="Barrido","",O115)</f>
        <v>#REF!</v>
      </c>
      <c r="Q115" s="24" t="str">
        <f>IF(F115="Barrido",O115,"")</f>
        <v/>
      </c>
      <c r="R115" s="24">
        <f>IF(I115&lt;&gt;"0",I115,"")</f>
        <v>0</v>
      </c>
      <c r="S115" s="22">
        <f>IF(J115&lt;&gt;"0",J115,"")</f>
        <v>0</v>
      </c>
      <c r="T115" s="23">
        <v>0.6</v>
      </c>
      <c r="U115" s="23">
        <v>0</v>
      </c>
      <c r="V115" s="23">
        <v>97</v>
      </c>
      <c r="W115" s="23">
        <v>1015</v>
      </c>
      <c r="X115" s="23">
        <v>15</v>
      </c>
    </row>
    <row r="116" spans="1:24" x14ac:dyDescent="0.2">
      <c r="A116" s="18">
        <v>45844</v>
      </c>
      <c r="B116" s="19" t="e">
        <f>IF(A116="","",VLOOKUP(Planilla!A116,#REF!,2,FALSE))</f>
        <v>#REF!</v>
      </c>
      <c r="C116" s="19" t="e">
        <f>IF(B116="","",VLOOKUP(Planilla!A116,#REF!,3,FALSE))</f>
        <v>#REF!</v>
      </c>
      <c r="D116" s="20" t="s">
        <v>30</v>
      </c>
      <c r="E116" s="21" t="s">
        <v>51</v>
      </c>
      <c r="F116" s="21" t="s">
        <v>39</v>
      </c>
      <c r="G116" s="21" t="s">
        <v>40</v>
      </c>
      <c r="H116" s="21" t="s">
        <v>41</v>
      </c>
      <c r="I116" s="36"/>
      <c r="J116" s="36"/>
      <c r="K116" s="21" t="s">
        <v>42</v>
      </c>
      <c r="L116" s="21"/>
      <c r="M116" s="24" t="e">
        <f>IF(K116="",0,VLOOKUP(K116,#REF!,2,FALSE))</f>
        <v>#REF!</v>
      </c>
      <c r="N116" s="24">
        <f>IF(L116="",0,VLOOKUP(L116,#REF!,2,FALSE))</f>
        <v>0</v>
      </c>
      <c r="O116" s="24" t="e">
        <f t="shared" si="4"/>
        <v>#REF!</v>
      </c>
      <c r="P116" s="24" t="e">
        <f>IF(F116="Barrido","",O116)</f>
        <v>#REF!</v>
      </c>
      <c r="Q116" s="24" t="str">
        <f>IF(F116="Barrido",O116,"")</f>
        <v/>
      </c>
      <c r="R116" s="24">
        <f>IF(I116&lt;&gt;"0",I116,"")</f>
        <v>0</v>
      </c>
      <c r="S116" s="22">
        <f>IF(J116&lt;&gt;"0",J116,"")</f>
        <v>0</v>
      </c>
      <c r="T116" s="23">
        <v>1.1000000000000001</v>
      </c>
      <c r="U116" s="23">
        <v>1</v>
      </c>
      <c r="V116" s="23">
        <v>97</v>
      </c>
      <c r="W116" s="23">
        <v>1013.6</v>
      </c>
      <c r="X116" s="23">
        <v>12</v>
      </c>
    </row>
    <row r="117" spans="1:24" x14ac:dyDescent="0.2">
      <c r="A117" s="18">
        <v>45844</v>
      </c>
      <c r="B117" s="19" t="e">
        <f>IF(A117="","",VLOOKUP(Planilla!A117,#REF!,2,FALSE))</f>
        <v>#REF!</v>
      </c>
      <c r="C117" s="19" t="e">
        <f>IF(B117="","",VLOOKUP(Planilla!A117,#REF!,3,FALSE))</f>
        <v>#REF!</v>
      </c>
      <c r="D117" s="20" t="s">
        <v>30</v>
      </c>
      <c r="E117" s="21" t="s">
        <v>74</v>
      </c>
      <c r="F117" s="21" t="s">
        <v>39</v>
      </c>
      <c r="G117" s="21" t="s">
        <v>40</v>
      </c>
      <c r="H117" s="21" t="s">
        <v>41</v>
      </c>
      <c r="I117" s="36"/>
      <c r="J117" s="36"/>
      <c r="K117" s="21" t="s">
        <v>42</v>
      </c>
      <c r="L117" s="21"/>
      <c r="M117" s="24" t="e">
        <f>IF(K117="",0,VLOOKUP(K117,#REF!,2,FALSE))</f>
        <v>#REF!</v>
      </c>
      <c r="N117" s="24">
        <f>IF(L117="",0,VLOOKUP(L117,#REF!,2,FALSE))</f>
        <v>0</v>
      </c>
      <c r="O117" s="24" t="e">
        <f t="shared" si="4"/>
        <v>#REF!</v>
      </c>
      <c r="P117" s="24" t="e">
        <f>IF(F117="Barrido","",O117)</f>
        <v>#REF!</v>
      </c>
      <c r="Q117" s="24" t="str">
        <f>IF(F117="Barrido",O117,"")</f>
        <v/>
      </c>
      <c r="R117" s="24">
        <f>IF(I117&lt;&gt;"0",I117,"")</f>
        <v>0</v>
      </c>
      <c r="S117" s="22">
        <f>IF(J117&lt;&gt;"0",J117,"")</f>
        <v>0</v>
      </c>
      <c r="T117" s="23">
        <v>3</v>
      </c>
      <c r="U117" s="23">
        <v>3</v>
      </c>
      <c r="V117" s="23">
        <v>99</v>
      </c>
      <c r="W117" s="23">
        <v>1015</v>
      </c>
      <c r="X117" s="23">
        <v>1.4</v>
      </c>
    </row>
    <row r="118" spans="1:24" x14ac:dyDescent="0.2">
      <c r="A118" s="18">
        <v>45845</v>
      </c>
      <c r="B118" s="19" t="e">
        <f>IF(A118="","",VLOOKUP(Planilla!A118,#REF!,2,FALSE))</f>
        <v>#REF!</v>
      </c>
      <c r="C118" s="19" t="e">
        <f>IF(B118="","",VLOOKUP(Planilla!A118,#REF!,3,FALSE))</f>
        <v>#REF!</v>
      </c>
      <c r="D118" s="20" t="s">
        <v>30</v>
      </c>
      <c r="E118" s="21" t="s">
        <v>60</v>
      </c>
      <c r="F118" s="21" t="s">
        <v>32</v>
      </c>
      <c r="G118" s="21" t="s">
        <v>65</v>
      </c>
      <c r="H118" s="21" t="s">
        <v>34</v>
      </c>
      <c r="I118" s="36">
        <v>200</v>
      </c>
      <c r="J118" s="36"/>
      <c r="K118" s="21" t="s">
        <v>50</v>
      </c>
      <c r="L118" s="21"/>
      <c r="M118" s="24" t="e">
        <f>IF(K118="",0,VLOOKUP(K118,#REF!,2,FALSE))</f>
        <v>#REF!</v>
      </c>
      <c r="N118" s="24">
        <f>IF(L118="",0,VLOOKUP(L118,#REF!,2,FALSE))</f>
        <v>0</v>
      </c>
      <c r="O118" s="24" t="e">
        <f t="shared" si="4"/>
        <v>#REF!</v>
      </c>
      <c r="P118" s="24" t="e">
        <f>IF(F118="Barrido","",O118)</f>
        <v>#REF!</v>
      </c>
      <c r="Q118" s="24" t="str">
        <f>IF(F118="Barrido",O118,"")</f>
        <v/>
      </c>
      <c r="R118" s="24">
        <f>IF(I118&lt;&gt;"0",I118,"")</f>
        <v>200</v>
      </c>
      <c r="S118" s="22">
        <f>IF(J118&lt;&gt;"0",J118,"")</f>
        <v>0</v>
      </c>
      <c r="T118" s="23">
        <v>-0.2</v>
      </c>
      <c r="U118" s="23">
        <v>0</v>
      </c>
      <c r="V118" s="23">
        <v>100</v>
      </c>
      <c r="W118" s="23">
        <v>1012.8</v>
      </c>
      <c r="X118" s="23">
        <v>12</v>
      </c>
    </row>
    <row r="119" spans="1:24" x14ac:dyDescent="0.2">
      <c r="A119" s="18">
        <v>45845</v>
      </c>
      <c r="B119" s="19" t="e">
        <f>IF(A119="","",VLOOKUP(Planilla!A119,#REF!,2,FALSE))</f>
        <v>#REF!</v>
      </c>
      <c r="C119" s="19" t="e">
        <f>IF(B119="","",VLOOKUP(Planilla!A119,#REF!,3,FALSE))</f>
        <v>#REF!</v>
      </c>
      <c r="D119" s="20" t="s">
        <v>30</v>
      </c>
      <c r="E119" s="21" t="s">
        <v>60</v>
      </c>
      <c r="F119" s="21" t="s">
        <v>39</v>
      </c>
      <c r="G119" s="21" t="s">
        <v>40</v>
      </c>
      <c r="H119" s="21" t="s">
        <v>41</v>
      </c>
      <c r="I119" s="36"/>
      <c r="J119" s="36"/>
      <c r="K119" s="21" t="s">
        <v>42</v>
      </c>
      <c r="L119" s="21"/>
      <c r="M119" s="24" t="e">
        <f>IF(K119="",0,VLOOKUP(K119,#REF!,2,FALSE))</f>
        <v>#REF!</v>
      </c>
      <c r="N119" s="24">
        <f>IF(L119="",0,VLOOKUP(L119,#REF!,2,FALSE))</f>
        <v>0</v>
      </c>
      <c r="O119" s="24" t="e">
        <f t="shared" si="4"/>
        <v>#REF!</v>
      </c>
      <c r="P119" s="24" t="e">
        <f>IF(F119="Barrido","",O119)</f>
        <v>#REF!</v>
      </c>
      <c r="Q119" s="24" t="str">
        <f>IF(F119="Barrido",O119,"")</f>
        <v/>
      </c>
      <c r="R119" s="24">
        <f>IF(I119&lt;&gt;"0",I119,"")</f>
        <v>0</v>
      </c>
      <c r="S119" s="22">
        <f>IF(J119&lt;&gt;"0",J119,"")</f>
        <v>0</v>
      </c>
      <c r="T119" s="23">
        <v>-0.02</v>
      </c>
      <c r="U119" s="23">
        <v>0</v>
      </c>
      <c r="V119" s="23">
        <v>100</v>
      </c>
      <c r="W119" s="23">
        <v>1012.8</v>
      </c>
      <c r="X119" s="23">
        <v>12</v>
      </c>
    </row>
    <row r="120" spans="1:24" x14ac:dyDescent="0.2">
      <c r="A120" s="18">
        <v>45845</v>
      </c>
      <c r="B120" s="19" t="e">
        <f>IF(A120="","",VLOOKUP(Planilla!A120,#REF!,2,FALSE))</f>
        <v>#REF!</v>
      </c>
      <c r="C120" s="19" t="e">
        <f>IF(B120="","",VLOOKUP(Planilla!A120,#REF!,3,FALSE))</f>
        <v>#REF!</v>
      </c>
      <c r="D120" s="20" t="s">
        <v>30</v>
      </c>
      <c r="E120" s="21" t="s">
        <v>60</v>
      </c>
      <c r="F120" s="21" t="s">
        <v>47</v>
      </c>
      <c r="G120" s="21" t="s">
        <v>48</v>
      </c>
      <c r="H120" s="21" t="s">
        <v>49</v>
      </c>
      <c r="I120" s="36"/>
      <c r="J120" s="36"/>
      <c r="K120" s="21" t="s">
        <v>50</v>
      </c>
      <c r="L120" s="21"/>
      <c r="M120" s="24" t="e">
        <f>IF(K120="",0,VLOOKUP(K120,#REF!,2,FALSE))</f>
        <v>#REF!</v>
      </c>
      <c r="N120" s="24">
        <f>IF(L120="",0,VLOOKUP(L120,#REF!,2,FALSE))</f>
        <v>0</v>
      </c>
      <c r="O120" s="24" t="e">
        <f t="shared" si="4"/>
        <v>#REF!</v>
      </c>
      <c r="P120" s="24" t="str">
        <f>IF(F120="Barrido","",O120)</f>
        <v/>
      </c>
      <c r="Q120" s="24" t="e">
        <f>IF(F120="Barrido",O120,"")</f>
        <v>#REF!</v>
      </c>
      <c r="R120" s="24">
        <f>IF(I120&lt;&gt;"0",I120,"")</f>
        <v>0</v>
      </c>
      <c r="S120" s="22">
        <f>IF(J120&lt;&gt;"0",J120,"")</f>
        <v>0</v>
      </c>
      <c r="T120" s="23">
        <v>-0.5</v>
      </c>
      <c r="U120" s="23">
        <v>0</v>
      </c>
      <c r="V120" s="23">
        <v>100</v>
      </c>
      <c r="W120" s="23">
        <v>1012.8</v>
      </c>
      <c r="X120" s="23">
        <v>12</v>
      </c>
    </row>
    <row r="121" spans="1:24" x14ac:dyDescent="0.2">
      <c r="A121" s="18">
        <v>45845</v>
      </c>
      <c r="B121" s="19" t="e">
        <f>IF(A121="","",VLOOKUP(Planilla!A121,#REF!,2,FALSE))</f>
        <v>#REF!</v>
      </c>
      <c r="C121" s="19" t="e">
        <f>IF(B121="","",VLOOKUP(Planilla!A121,#REF!,3,FALSE))</f>
        <v>#REF!</v>
      </c>
      <c r="D121" s="20" t="s">
        <v>30</v>
      </c>
      <c r="E121" s="21" t="s">
        <v>60</v>
      </c>
      <c r="F121" s="21" t="s">
        <v>52</v>
      </c>
      <c r="G121" s="21" t="s">
        <v>53</v>
      </c>
      <c r="H121" s="21" t="s">
        <v>54</v>
      </c>
      <c r="I121" s="36"/>
      <c r="J121" s="36">
        <v>1400</v>
      </c>
      <c r="K121" s="21" t="s">
        <v>35</v>
      </c>
      <c r="L121" s="21" t="s">
        <v>59</v>
      </c>
      <c r="M121" s="24" t="e">
        <f>IF(K121="",0,VLOOKUP(K121,#REF!,2,FALSE))</f>
        <v>#REF!</v>
      </c>
      <c r="N121" s="24" t="e">
        <f>IF(L121="",0,VLOOKUP(L121,#REF!,2,FALSE))</f>
        <v>#REF!</v>
      </c>
      <c r="O121" s="24" t="e">
        <f t="shared" si="4"/>
        <v>#REF!</v>
      </c>
      <c r="P121" s="24" t="e">
        <f>IF(F121="Barrido","",O121)</f>
        <v>#REF!</v>
      </c>
      <c r="Q121" s="24" t="str">
        <f>IF(F121="Barrido",O121,"")</f>
        <v/>
      </c>
      <c r="R121" s="24">
        <f>IF(I121&lt;&gt;"0",I121,"")</f>
        <v>0</v>
      </c>
      <c r="S121" s="22">
        <f>IF(J121&lt;&gt;"0",J121,"")</f>
        <v>1400</v>
      </c>
      <c r="T121" s="23">
        <v>-0.6</v>
      </c>
      <c r="U121" s="23">
        <v>0</v>
      </c>
      <c r="V121" s="23">
        <v>100</v>
      </c>
      <c r="W121" s="23">
        <v>1013.2</v>
      </c>
      <c r="X121" s="23">
        <v>13</v>
      </c>
    </row>
    <row r="122" spans="1:24" x14ac:dyDescent="0.2">
      <c r="A122" s="18">
        <v>45845</v>
      </c>
      <c r="B122" s="19" t="e">
        <f>IF(A122="","",VLOOKUP(Planilla!A122,#REF!,2,FALSE))</f>
        <v>#REF!</v>
      </c>
      <c r="C122" s="19" t="e">
        <f>IF(B122="","",VLOOKUP(Planilla!A122,#REF!,3,FALSE))</f>
        <v>#REF!</v>
      </c>
      <c r="D122" s="20" t="s">
        <v>30</v>
      </c>
      <c r="E122" s="21" t="s">
        <v>60</v>
      </c>
      <c r="F122" s="21" t="s">
        <v>39</v>
      </c>
      <c r="G122" s="21" t="s">
        <v>40</v>
      </c>
      <c r="H122" s="21" t="s">
        <v>41</v>
      </c>
      <c r="I122" s="36"/>
      <c r="J122" s="36"/>
      <c r="K122" s="21" t="s">
        <v>42</v>
      </c>
      <c r="L122" s="21"/>
      <c r="M122" s="24" t="e">
        <f>IF(K122="",0,VLOOKUP(K122,#REF!,2,FALSE))</f>
        <v>#REF!</v>
      </c>
      <c r="N122" s="24">
        <f>IF(L122="",0,VLOOKUP(L122,#REF!,2,FALSE))</f>
        <v>0</v>
      </c>
      <c r="O122" s="24" t="e">
        <f t="shared" si="4"/>
        <v>#REF!</v>
      </c>
      <c r="P122" s="24" t="e">
        <f>IF(F122="Barrido","",O122)</f>
        <v>#REF!</v>
      </c>
      <c r="Q122" s="24" t="str">
        <f>IF(F122="Barrido",O122,"")</f>
        <v/>
      </c>
      <c r="R122" s="24">
        <f>IF(I122&lt;&gt;"0",I122,"")</f>
        <v>0</v>
      </c>
      <c r="S122" s="22">
        <f>IF(J122&lt;&gt;"0",J122,"")</f>
        <v>0</v>
      </c>
      <c r="T122" s="23">
        <v>-1.1000000000000001</v>
      </c>
      <c r="U122" s="23">
        <v>-1</v>
      </c>
      <c r="V122" s="23">
        <v>98</v>
      </c>
      <c r="W122" s="23">
        <v>1012.9</v>
      </c>
      <c r="X122" s="23">
        <v>10</v>
      </c>
    </row>
    <row r="123" spans="1:24" x14ac:dyDescent="0.2">
      <c r="A123" s="18">
        <v>45845</v>
      </c>
      <c r="B123" s="19" t="e">
        <f>IF(A123="","",VLOOKUP(Planilla!A123,#REF!,2,FALSE))</f>
        <v>#REF!</v>
      </c>
      <c r="C123" s="19" t="e">
        <f>IF(B123="","",VLOOKUP(Planilla!A123,#REF!,3,FALSE))</f>
        <v>#REF!</v>
      </c>
      <c r="D123" s="20" t="s">
        <v>55</v>
      </c>
      <c r="E123" s="21" t="s">
        <v>43</v>
      </c>
      <c r="F123" s="21" t="s">
        <v>52</v>
      </c>
      <c r="G123" s="21" t="s">
        <v>65</v>
      </c>
      <c r="H123" s="21" t="s">
        <v>72</v>
      </c>
      <c r="I123" s="36"/>
      <c r="J123" s="36">
        <v>300</v>
      </c>
      <c r="K123" s="21" t="s">
        <v>73</v>
      </c>
      <c r="L123" s="21" t="s">
        <v>61</v>
      </c>
      <c r="M123" s="24" t="e">
        <f>IF(K123="",0,VLOOKUP(K123,#REF!,2,FALSE))</f>
        <v>#REF!</v>
      </c>
      <c r="N123" s="24" t="e">
        <f>IF(L123="",0,VLOOKUP(L123,#REF!,2,FALSE))</f>
        <v>#REF!</v>
      </c>
      <c r="O123" s="24" t="e">
        <f t="shared" si="4"/>
        <v>#REF!</v>
      </c>
      <c r="P123" s="24" t="e">
        <f>IF(F123="Barrido","",O123)</f>
        <v>#REF!</v>
      </c>
      <c r="Q123" s="24" t="str">
        <f>IF(F123="Barrido",O123,"")</f>
        <v/>
      </c>
      <c r="R123" s="24">
        <f>IF(I123&lt;&gt;"0",I123,"")</f>
        <v>0</v>
      </c>
      <c r="S123" s="22">
        <f>IF(J123&lt;&gt;"0",J123,"")</f>
        <v>300</v>
      </c>
      <c r="T123" s="23">
        <v>-2</v>
      </c>
      <c r="U123" s="23">
        <v>-2</v>
      </c>
      <c r="V123" s="23">
        <v>99</v>
      </c>
      <c r="W123" s="23">
        <v>1012.4</v>
      </c>
      <c r="X123" s="23">
        <v>8</v>
      </c>
    </row>
    <row r="124" spans="1:24" x14ac:dyDescent="0.2">
      <c r="A124" s="18">
        <v>45845</v>
      </c>
      <c r="B124" s="19" t="e">
        <f>IF(A124="","",VLOOKUP(Planilla!A124,#REF!,2,FALSE))</f>
        <v>#REF!</v>
      </c>
      <c r="C124" s="19" t="e">
        <f>IF(B124="","",VLOOKUP(Planilla!A124,#REF!,3,FALSE))</f>
        <v>#REF!</v>
      </c>
      <c r="D124" s="20" t="s">
        <v>30</v>
      </c>
      <c r="E124" s="21" t="s">
        <v>43</v>
      </c>
      <c r="F124" s="21" t="s">
        <v>39</v>
      </c>
      <c r="G124" s="21" t="s">
        <v>40</v>
      </c>
      <c r="H124" s="21" t="s">
        <v>41</v>
      </c>
      <c r="I124" s="36"/>
      <c r="J124" s="36"/>
      <c r="K124" s="21" t="s">
        <v>42</v>
      </c>
      <c r="L124" s="21"/>
      <c r="M124" s="24" t="e">
        <f>IF(K124="",0,VLOOKUP(K124,#REF!,2,FALSE))</f>
        <v>#REF!</v>
      </c>
      <c r="N124" s="24">
        <f>IF(L124="",0,VLOOKUP(L124,#REF!,2,FALSE))</f>
        <v>0</v>
      </c>
      <c r="O124" s="24" t="e">
        <f t="shared" si="4"/>
        <v>#REF!</v>
      </c>
      <c r="P124" s="24" t="e">
        <f>IF(F124="Barrido","",O124)</f>
        <v>#REF!</v>
      </c>
      <c r="Q124" s="24" t="str">
        <f>IF(F124="Barrido",O124,"")</f>
        <v/>
      </c>
      <c r="R124" s="24">
        <f>IF(I124&lt;&gt;"0",I124,"")</f>
        <v>0</v>
      </c>
      <c r="S124" s="22">
        <f>IF(J124&lt;&gt;"0",J124,"")</f>
        <v>0</v>
      </c>
      <c r="T124" s="23">
        <v>-2</v>
      </c>
      <c r="U124" s="23">
        <v>-2</v>
      </c>
      <c r="V124" s="23">
        <v>99</v>
      </c>
      <c r="W124" s="23">
        <v>1012.4</v>
      </c>
      <c r="X124" s="23">
        <v>8</v>
      </c>
    </row>
    <row r="125" spans="1:24" x14ac:dyDescent="0.2">
      <c r="A125" s="18">
        <v>45845</v>
      </c>
      <c r="B125" s="19" t="e">
        <f>IF(A125="","",VLOOKUP(Planilla!A125,#REF!,2,FALSE))</f>
        <v>#REF!</v>
      </c>
      <c r="C125" s="19" t="e">
        <f>IF(B125="","",VLOOKUP(Planilla!A125,#REF!,3,FALSE))</f>
        <v>#REF!</v>
      </c>
      <c r="D125" s="20" t="s">
        <v>30</v>
      </c>
      <c r="E125" s="21" t="s">
        <v>31</v>
      </c>
      <c r="F125" s="21" t="s">
        <v>39</v>
      </c>
      <c r="G125" s="21" t="s">
        <v>40</v>
      </c>
      <c r="H125" s="21" t="s">
        <v>41</v>
      </c>
      <c r="I125" s="36"/>
      <c r="J125" s="36"/>
      <c r="K125" s="21" t="s">
        <v>42</v>
      </c>
      <c r="L125" s="21"/>
      <c r="M125" s="24" t="e">
        <f>IF(K125="",0,VLOOKUP(K125,#REF!,2,FALSE))</f>
        <v>#REF!</v>
      </c>
      <c r="N125" s="24">
        <f>IF(L125="",0,VLOOKUP(L125,#REF!,2,FALSE))</f>
        <v>0</v>
      </c>
      <c r="O125" s="24" t="e">
        <f t="shared" si="4"/>
        <v>#REF!</v>
      </c>
      <c r="P125" s="24" t="e">
        <f>IF(F125="Barrido","",O125)</f>
        <v>#REF!</v>
      </c>
      <c r="Q125" s="24" t="str">
        <f>IF(F125="Barrido",O125,"")</f>
        <v/>
      </c>
      <c r="R125" s="24">
        <f>IF(I125&lt;&gt;"0",I125,"")</f>
        <v>0</v>
      </c>
      <c r="S125" s="22">
        <f>IF(J125&lt;&gt;"0",J125,"")</f>
        <v>0</v>
      </c>
      <c r="T125" s="23">
        <v>-1.4</v>
      </c>
      <c r="U125" s="23">
        <v>-1</v>
      </c>
      <c r="V125" s="23">
        <v>97</v>
      </c>
      <c r="W125" s="23">
        <v>1012.1</v>
      </c>
      <c r="X125" s="23">
        <v>10</v>
      </c>
    </row>
    <row r="126" spans="1:24" x14ac:dyDescent="0.2">
      <c r="A126" s="18">
        <v>45845</v>
      </c>
      <c r="B126" s="19" t="e">
        <f>IF(A126="","",VLOOKUP(Planilla!A126,#REF!,2,FALSE))</f>
        <v>#REF!</v>
      </c>
      <c r="C126" s="19" t="e">
        <f>IF(B126="","",VLOOKUP(Planilla!A126,#REF!,3,FALSE))</f>
        <v>#REF!</v>
      </c>
      <c r="D126" s="20" t="s">
        <v>30</v>
      </c>
      <c r="E126" s="21" t="s">
        <v>43</v>
      </c>
      <c r="F126" s="21" t="s">
        <v>47</v>
      </c>
      <c r="G126" s="21" t="s">
        <v>48</v>
      </c>
      <c r="H126" s="21" t="s">
        <v>69</v>
      </c>
      <c r="I126" s="36"/>
      <c r="J126" s="36"/>
      <c r="K126" s="21" t="s">
        <v>50</v>
      </c>
      <c r="L126" s="21"/>
      <c r="M126" s="24" t="e">
        <f>IF(K126="",0,VLOOKUP(K126,#REF!,2,FALSE))</f>
        <v>#REF!</v>
      </c>
      <c r="N126" s="24">
        <f>IF(L126="",0,VLOOKUP(L126,#REF!,2,FALSE))</f>
        <v>0</v>
      </c>
      <c r="O126" s="24" t="e">
        <f t="shared" si="4"/>
        <v>#REF!</v>
      </c>
      <c r="P126" s="24" t="str">
        <f>IF(F126="Barrido","",O126)</f>
        <v/>
      </c>
      <c r="Q126" s="24" t="e">
        <f>IF(F126="Barrido",O126,"")</f>
        <v>#REF!</v>
      </c>
      <c r="R126" s="24">
        <f>IF(I126&lt;&gt;"0",I126,"")</f>
        <v>0</v>
      </c>
      <c r="S126" s="22">
        <f>IF(J126&lt;&gt;"0",J126,"")</f>
        <v>0</v>
      </c>
      <c r="T126" s="23">
        <v>1</v>
      </c>
      <c r="U126" s="23">
        <v>1</v>
      </c>
      <c r="V126" s="23">
        <v>99</v>
      </c>
      <c r="W126" s="23">
        <v>1012</v>
      </c>
      <c r="X126" s="23">
        <v>2.2000000000000002</v>
      </c>
    </row>
    <row r="127" spans="1:24" x14ac:dyDescent="0.2">
      <c r="A127" s="18">
        <v>45845</v>
      </c>
      <c r="B127" s="19" t="e">
        <f>IF(A127="","",VLOOKUP(Planilla!A127,#REF!,2,FALSE))</f>
        <v>#REF!</v>
      </c>
      <c r="C127" s="19" t="e">
        <f>IF(B127="","",VLOOKUP(Planilla!A127,#REF!,3,FALSE))</f>
        <v>#REF!</v>
      </c>
      <c r="D127" s="20" t="s">
        <v>30</v>
      </c>
      <c r="E127" s="21" t="s">
        <v>43</v>
      </c>
      <c r="F127" s="21" t="s">
        <v>32</v>
      </c>
      <c r="G127" s="21" t="s">
        <v>65</v>
      </c>
      <c r="H127" s="21" t="s">
        <v>34</v>
      </c>
      <c r="I127" s="36">
        <v>1000</v>
      </c>
      <c r="J127" s="36"/>
      <c r="K127" s="21" t="s">
        <v>35</v>
      </c>
      <c r="L127" s="21"/>
      <c r="M127" s="24" t="e">
        <f>IF(K127="",0,VLOOKUP(K127,#REF!,2,FALSE))</f>
        <v>#REF!</v>
      </c>
      <c r="N127" s="24">
        <f>IF(L127="",0,VLOOKUP(L127,#REF!,2,FALSE))</f>
        <v>0</v>
      </c>
      <c r="O127" s="24" t="e">
        <f t="shared" si="4"/>
        <v>#REF!</v>
      </c>
      <c r="P127" s="24" t="e">
        <f>IF(F127="Barrido","",O127)</f>
        <v>#REF!</v>
      </c>
      <c r="Q127" s="24" t="str">
        <f>IF(F127="Barrido",O127,"")</f>
        <v/>
      </c>
      <c r="R127" s="24">
        <f>IF(I127&lt;&gt;"0",I127,"")</f>
        <v>1000</v>
      </c>
      <c r="S127" s="22">
        <f>IF(J127&lt;&gt;"0",J127,"")</f>
        <v>0</v>
      </c>
      <c r="T127" s="23">
        <v>1</v>
      </c>
      <c r="U127" s="23">
        <v>1</v>
      </c>
      <c r="V127" s="23">
        <v>99</v>
      </c>
      <c r="W127" s="23">
        <v>1012</v>
      </c>
      <c r="X127" s="23">
        <v>9.6999999999999993</v>
      </c>
    </row>
    <row r="128" spans="1:24" x14ac:dyDescent="0.2">
      <c r="A128" s="18">
        <v>45846</v>
      </c>
      <c r="B128" s="19" t="e">
        <f>IF(A128="","",VLOOKUP(Planilla!A128,#REF!,2,FALSE))</f>
        <v>#REF!</v>
      </c>
      <c r="C128" s="19" t="e">
        <f>IF(B128="","",VLOOKUP(Planilla!A128,#REF!,3,FALSE))</f>
        <v>#REF!</v>
      </c>
      <c r="D128" s="20" t="s">
        <v>30</v>
      </c>
      <c r="E128" s="21" t="s">
        <v>51</v>
      </c>
      <c r="F128" s="21" t="s">
        <v>39</v>
      </c>
      <c r="G128" s="21" t="s">
        <v>40</v>
      </c>
      <c r="H128" s="21" t="s">
        <v>41</v>
      </c>
      <c r="I128" s="36"/>
      <c r="J128" s="36"/>
      <c r="K128" s="21" t="s">
        <v>42</v>
      </c>
      <c r="L128" s="21"/>
      <c r="M128" s="24" t="e">
        <f>IF(K128="",0,VLOOKUP(K128,#REF!,2,FALSE))</f>
        <v>#REF!</v>
      </c>
      <c r="N128" s="24">
        <f>IF(L128="",0,VLOOKUP(L128,#REF!,2,FALSE))</f>
        <v>0</v>
      </c>
      <c r="O128" s="24" t="e">
        <f t="shared" si="4"/>
        <v>#REF!</v>
      </c>
      <c r="P128" s="24" t="e">
        <f>IF(F128="Barrido","",O128)</f>
        <v>#REF!</v>
      </c>
      <c r="Q128" s="24" t="str">
        <f>IF(F128="Barrido",O128,"")</f>
        <v/>
      </c>
      <c r="R128" s="24">
        <f>IF(I128&lt;&gt;"0",I128,"")</f>
        <v>0</v>
      </c>
      <c r="S128" s="22">
        <f>IF(J128&lt;&gt;"0",J128,"")</f>
        <v>0</v>
      </c>
      <c r="T128" s="23">
        <v>3.5</v>
      </c>
      <c r="U128" s="23">
        <v>4</v>
      </c>
      <c r="V128" s="23">
        <v>96</v>
      </c>
      <c r="W128" s="23">
        <v>999.3</v>
      </c>
      <c r="X128" s="23">
        <v>12</v>
      </c>
    </row>
    <row r="129" spans="1:24" x14ac:dyDescent="0.2">
      <c r="A129" s="18">
        <v>45846</v>
      </c>
      <c r="B129" s="19" t="e">
        <f>IF(A129="","",VLOOKUP(Planilla!A129,#REF!,2,FALSE))</f>
        <v>#REF!</v>
      </c>
      <c r="C129" s="19" t="e">
        <f>IF(B129="","",VLOOKUP(Planilla!A129,#REF!,3,FALSE))</f>
        <v>#REF!</v>
      </c>
      <c r="D129" s="20" t="s">
        <v>30</v>
      </c>
      <c r="E129" s="21" t="s">
        <v>51</v>
      </c>
      <c r="F129" s="21" t="s">
        <v>32</v>
      </c>
      <c r="G129" s="21" t="s">
        <v>65</v>
      </c>
      <c r="H129" s="21" t="s">
        <v>34</v>
      </c>
      <c r="I129" s="36">
        <v>250</v>
      </c>
      <c r="J129" s="36"/>
      <c r="K129" s="21" t="s">
        <v>63</v>
      </c>
      <c r="L129" s="21"/>
      <c r="M129" s="24" t="e">
        <f>IF(K129="",0,VLOOKUP(K129,#REF!,2,FALSE))</f>
        <v>#REF!</v>
      </c>
      <c r="N129" s="24">
        <f>IF(L129="",0,VLOOKUP(L129,#REF!,2,FALSE))</f>
        <v>0</v>
      </c>
      <c r="O129" s="24" t="e">
        <f t="shared" si="4"/>
        <v>#REF!</v>
      </c>
      <c r="P129" s="24" t="e">
        <f>IF(F129="Barrido","",O129)</f>
        <v>#REF!</v>
      </c>
      <c r="Q129" s="24" t="str">
        <f>IF(F129="Barrido",O129,"")</f>
        <v/>
      </c>
      <c r="R129" s="24">
        <f>IF(I129&lt;&gt;"0",I129,"")</f>
        <v>250</v>
      </c>
      <c r="S129" s="22">
        <f>IF(J129&lt;&gt;"0",J129,"")</f>
        <v>0</v>
      </c>
      <c r="T129" s="23">
        <v>0</v>
      </c>
      <c r="U129" s="23">
        <v>-1</v>
      </c>
      <c r="V129" s="23">
        <v>95</v>
      </c>
      <c r="W129" s="23">
        <v>1010</v>
      </c>
      <c r="X129" s="23">
        <v>12</v>
      </c>
    </row>
    <row r="130" spans="1:24" x14ac:dyDescent="0.2">
      <c r="A130" s="18">
        <v>45846</v>
      </c>
      <c r="B130" s="19" t="e">
        <f>IF(A130="","",VLOOKUP(Planilla!A130,#REF!,2,FALSE))</f>
        <v>#REF!</v>
      </c>
      <c r="C130" s="19" t="e">
        <f>IF(B130="","",VLOOKUP(Planilla!A130,#REF!,3,FALSE))</f>
        <v>#REF!</v>
      </c>
      <c r="D130" s="20" t="s">
        <v>30</v>
      </c>
      <c r="E130" s="21" t="s">
        <v>43</v>
      </c>
      <c r="F130" s="21" t="s">
        <v>47</v>
      </c>
      <c r="G130" s="21" t="s">
        <v>48</v>
      </c>
      <c r="H130" s="21" t="s">
        <v>49</v>
      </c>
      <c r="I130" s="36"/>
      <c r="J130" s="36"/>
      <c r="K130" s="21" t="s">
        <v>50</v>
      </c>
      <c r="L130" s="21"/>
      <c r="M130" s="24" t="e">
        <f>IF(K130="",0,VLOOKUP(K130,#REF!,2,FALSE))</f>
        <v>#REF!</v>
      </c>
      <c r="N130" s="24">
        <f>IF(L130="",0,VLOOKUP(L130,#REF!,2,FALSE))</f>
        <v>0</v>
      </c>
      <c r="O130" s="24" t="e">
        <f t="shared" si="4"/>
        <v>#REF!</v>
      </c>
      <c r="P130" s="24" t="str">
        <f>IF(F130="Barrido","",O130)</f>
        <v/>
      </c>
      <c r="Q130" s="24" t="e">
        <f>IF(F130="Barrido",O130,"")</f>
        <v>#REF!</v>
      </c>
      <c r="R130" s="24">
        <f>IF(I130&lt;&gt;"0",I130,"")</f>
        <v>0</v>
      </c>
      <c r="S130" s="22">
        <f>IF(J130&lt;&gt;"0",J130,"")</f>
        <v>0</v>
      </c>
      <c r="T130" s="23">
        <v>0</v>
      </c>
      <c r="U130" s="23">
        <v>-1</v>
      </c>
      <c r="V130" s="23">
        <v>95</v>
      </c>
      <c r="W130" s="23">
        <v>1010</v>
      </c>
      <c r="X130" s="23">
        <v>12</v>
      </c>
    </row>
    <row r="131" spans="1:24" x14ac:dyDescent="0.2">
      <c r="A131" s="18">
        <v>45846</v>
      </c>
      <c r="B131" s="19" t="e">
        <f>IF(A131="","",VLOOKUP(Planilla!A131,#REF!,2,FALSE))</f>
        <v>#REF!</v>
      </c>
      <c r="C131" s="19" t="e">
        <f>IF(B131="","",VLOOKUP(Planilla!A131,#REF!,3,FALSE))</f>
        <v>#REF!</v>
      </c>
      <c r="D131" s="20" t="s">
        <v>30</v>
      </c>
      <c r="E131" s="21" t="s">
        <v>43</v>
      </c>
      <c r="F131" s="21" t="s">
        <v>32</v>
      </c>
      <c r="G131" s="21" t="s">
        <v>65</v>
      </c>
      <c r="H131" s="21" t="s">
        <v>34</v>
      </c>
      <c r="I131" s="36">
        <v>750</v>
      </c>
      <c r="J131" s="36"/>
      <c r="K131" s="21" t="s">
        <v>35</v>
      </c>
      <c r="L131" s="21"/>
      <c r="M131" s="24" t="e">
        <f>IF(K131="",0,VLOOKUP(K131,#REF!,2,FALSE))</f>
        <v>#REF!</v>
      </c>
      <c r="N131" s="24">
        <f>IF(L131="",0,VLOOKUP(L131,#REF!,2,FALSE))</f>
        <v>0</v>
      </c>
      <c r="O131" s="24" t="e">
        <f t="shared" si="4"/>
        <v>#REF!</v>
      </c>
      <c r="P131" s="24" t="e">
        <f>IF(F131="Barrido","",O131)</f>
        <v>#REF!</v>
      </c>
      <c r="Q131" s="24" t="str">
        <f>IF(F131="Barrido",O131,"")</f>
        <v/>
      </c>
      <c r="R131" s="24">
        <f>IF(I131&lt;&gt;"0",I131,"")</f>
        <v>750</v>
      </c>
      <c r="S131" s="22">
        <f>IF(J131&lt;&gt;"0",J131,"")</f>
        <v>0</v>
      </c>
      <c r="T131" s="23">
        <v>1</v>
      </c>
      <c r="U131" s="23">
        <v>0</v>
      </c>
      <c r="V131" s="23">
        <v>95</v>
      </c>
      <c r="W131" s="23">
        <v>1014.5</v>
      </c>
      <c r="X131" s="23">
        <v>4</v>
      </c>
    </row>
    <row r="132" spans="1:24" x14ac:dyDescent="0.2">
      <c r="A132" s="18">
        <v>45847</v>
      </c>
      <c r="B132" s="19" t="e">
        <f>IF(A132="","",VLOOKUP(Planilla!A132,#REF!,2,FALSE))</f>
        <v>#REF!</v>
      </c>
      <c r="C132" s="19" t="e">
        <f>IF(B132="","",VLOOKUP(Planilla!A132,#REF!,3,FALSE))</f>
        <v>#REF!</v>
      </c>
      <c r="D132" s="20" t="s">
        <v>30</v>
      </c>
      <c r="E132" s="21" t="s">
        <v>51</v>
      </c>
      <c r="F132" s="21" t="s">
        <v>39</v>
      </c>
      <c r="G132" s="21" t="s">
        <v>40</v>
      </c>
      <c r="H132" s="21" t="s">
        <v>41</v>
      </c>
      <c r="I132" s="36"/>
      <c r="J132" s="36"/>
      <c r="K132" s="21" t="s">
        <v>42</v>
      </c>
      <c r="L132" s="21"/>
      <c r="M132" s="24" t="e">
        <f>IF(K132="",0,VLOOKUP(K132,#REF!,2,FALSE))</f>
        <v>#REF!</v>
      </c>
      <c r="N132" s="24">
        <f>IF(L132="",0,VLOOKUP(L132,#REF!,2,FALSE))</f>
        <v>0</v>
      </c>
      <c r="O132" s="24" t="e">
        <f t="shared" si="4"/>
        <v>#REF!</v>
      </c>
      <c r="P132" s="24" t="e">
        <f>IF(F132="Barrido","",O132)</f>
        <v>#REF!</v>
      </c>
      <c r="Q132" s="24" t="str">
        <f>IF(F132="Barrido",O132,"")</f>
        <v/>
      </c>
      <c r="R132" s="24">
        <f>IF(I132&lt;&gt;"0",I132,"")</f>
        <v>0</v>
      </c>
      <c r="S132" s="22">
        <f>IF(J132&lt;&gt;"0",J132,"")</f>
        <v>0</v>
      </c>
      <c r="T132" s="23">
        <v>0</v>
      </c>
      <c r="U132" s="23">
        <v>-1</v>
      </c>
      <c r="V132" s="23">
        <v>99</v>
      </c>
      <c r="W132" s="23">
        <v>1013</v>
      </c>
      <c r="X132" s="23">
        <v>6</v>
      </c>
    </row>
    <row r="133" spans="1:24" x14ac:dyDescent="0.2">
      <c r="A133" s="18">
        <v>45847</v>
      </c>
      <c r="B133" s="19" t="e">
        <f>IF(A133="","",VLOOKUP(Planilla!A133,#REF!,2,FALSE))</f>
        <v>#REF!</v>
      </c>
      <c r="C133" s="19" t="e">
        <f>IF(B133="","",VLOOKUP(Planilla!A133,#REF!,3,FALSE))</f>
        <v>#REF!</v>
      </c>
      <c r="D133" s="20" t="s">
        <v>30</v>
      </c>
      <c r="E133" s="21" t="s">
        <v>51</v>
      </c>
      <c r="F133" s="21" t="s">
        <v>52</v>
      </c>
      <c r="G133" s="21" t="s">
        <v>53</v>
      </c>
      <c r="H133" s="21" t="s">
        <v>54</v>
      </c>
      <c r="I133" s="36"/>
      <c r="J133" s="36">
        <v>600</v>
      </c>
      <c r="K133" s="21" t="s">
        <v>38</v>
      </c>
      <c r="L133" s="21"/>
      <c r="M133" s="24" t="e">
        <f>IF(K133="",0,VLOOKUP(K133,#REF!,2,FALSE))</f>
        <v>#REF!</v>
      </c>
      <c r="N133" s="24">
        <f>IF(L133="",0,VLOOKUP(L133,#REF!,2,FALSE))</f>
        <v>0</v>
      </c>
      <c r="O133" s="24" t="e">
        <f t="shared" si="4"/>
        <v>#REF!</v>
      </c>
      <c r="P133" s="24" t="e">
        <f>IF(F133="Barrido","",O133)</f>
        <v>#REF!</v>
      </c>
      <c r="Q133" s="24" t="str">
        <f>IF(F133="Barrido",O133,"")</f>
        <v/>
      </c>
      <c r="R133" s="24">
        <f>IF(I133&lt;&gt;"0",I133,"")</f>
        <v>0</v>
      </c>
      <c r="S133" s="22">
        <f>IF(J133&lt;&gt;"0",J133,"")</f>
        <v>600</v>
      </c>
      <c r="T133" s="23">
        <v>0</v>
      </c>
      <c r="U133" s="23">
        <v>-1</v>
      </c>
      <c r="V133" s="23">
        <v>99</v>
      </c>
      <c r="W133" s="23">
        <v>1013</v>
      </c>
      <c r="X133" s="23">
        <v>6</v>
      </c>
    </row>
    <row r="134" spans="1:24" x14ac:dyDescent="0.2">
      <c r="A134" s="18">
        <v>45847</v>
      </c>
      <c r="B134" s="19" t="e">
        <f>IF(A134="","",VLOOKUP(Planilla!A134,#REF!,2,FALSE))</f>
        <v>#REF!</v>
      </c>
      <c r="C134" s="19" t="e">
        <f>IF(B134="","",VLOOKUP(Planilla!A134,#REF!,3,FALSE))</f>
        <v>#REF!</v>
      </c>
      <c r="D134" s="20" t="s">
        <v>30</v>
      </c>
      <c r="E134" s="21" t="s">
        <v>51</v>
      </c>
      <c r="F134" s="21" t="s">
        <v>32</v>
      </c>
      <c r="G134" s="21" t="s">
        <v>65</v>
      </c>
      <c r="H134" s="21" t="s">
        <v>34</v>
      </c>
      <c r="I134" s="36">
        <v>125</v>
      </c>
      <c r="J134" s="36"/>
      <c r="K134" s="21" t="s">
        <v>50</v>
      </c>
      <c r="L134" s="21"/>
      <c r="M134" s="24" t="e">
        <f>IF(K134="",0,VLOOKUP(K134,#REF!,2,FALSE))</f>
        <v>#REF!</v>
      </c>
      <c r="N134" s="24">
        <f>IF(L134="",0,VLOOKUP(L134,#REF!,2,FALSE))</f>
        <v>0</v>
      </c>
      <c r="O134" s="24" t="e">
        <f t="shared" si="4"/>
        <v>#REF!</v>
      </c>
      <c r="P134" s="24" t="e">
        <f>IF(F134="Barrido","",O134)</f>
        <v>#REF!</v>
      </c>
      <c r="Q134" s="24" t="str">
        <f>IF(F134="Barrido",O134,"")</f>
        <v/>
      </c>
      <c r="R134" s="24">
        <f>IF(I134&lt;&gt;"0",I134,"")</f>
        <v>125</v>
      </c>
      <c r="S134" s="22">
        <f>IF(J134&lt;&gt;"0",J134,"")</f>
        <v>0</v>
      </c>
      <c r="T134" s="23">
        <v>-0.6</v>
      </c>
      <c r="U134" s="23">
        <v>-1.3</v>
      </c>
      <c r="V134" s="23">
        <v>96</v>
      </c>
      <c r="W134" s="23">
        <v>1012.2</v>
      </c>
      <c r="X134" s="23">
        <v>4.3</v>
      </c>
    </row>
    <row r="135" spans="1:24" x14ac:dyDescent="0.2">
      <c r="A135" s="18">
        <v>45847</v>
      </c>
      <c r="B135" s="19" t="e">
        <f>IF(A135="","",VLOOKUP(Planilla!A135,#REF!,2,FALSE))</f>
        <v>#REF!</v>
      </c>
      <c r="C135" s="19" t="e">
        <f>IF(B135="","",VLOOKUP(Planilla!A135,#REF!,3,FALSE))</f>
        <v>#REF!</v>
      </c>
      <c r="D135" s="20" t="s">
        <v>30</v>
      </c>
      <c r="E135" s="21" t="s">
        <v>43</v>
      </c>
      <c r="F135" s="21" t="s">
        <v>32</v>
      </c>
      <c r="G135" s="21" t="s">
        <v>65</v>
      </c>
      <c r="H135" s="21" t="s">
        <v>34</v>
      </c>
      <c r="I135" s="36">
        <v>175</v>
      </c>
      <c r="J135" s="36"/>
      <c r="K135" s="21" t="s">
        <v>50</v>
      </c>
      <c r="L135" s="21"/>
      <c r="M135" s="24" t="e">
        <f>IF(K135="",0,VLOOKUP(K135,#REF!,2,FALSE))</f>
        <v>#REF!</v>
      </c>
      <c r="N135" s="24">
        <f>IF(L135="",0,VLOOKUP(L135,#REF!,2,FALSE))</f>
        <v>0</v>
      </c>
      <c r="O135" s="24" t="e">
        <f t="shared" si="4"/>
        <v>#REF!</v>
      </c>
      <c r="P135" s="24" t="e">
        <f>IF(F135="Barrido","",O135)</f>
        <v>#REF!</v>
      </c>
      <c r="Q135" s="24" t="str">
        <f>IF(F135="Barrido",O135,"")</f>
        <v/>
      </c>
      <c r="R135" s="24">
        <f>IF(I135&lt;&gt;"0",I135,"")</f>
        <v>175</v>
      </c>
      <c r="S135" s="22">
        <f>IF(J135&lt;&gt;"0",J135,"")</f>
        <v>0</v>
      </c>
      <c r="T135" s="23">
        <v>-1</v>
      </c>
      <c r="U135" s="23">
        <v>-2</v>
      </c>
      <c r="V135" s="23">
        <v>95</v>
      </c>
      <c r="W135" s="23">
        <v>1004</v>
      </c>
      <c r="X135" s="23">
        <v>18</v>
      </c>
    </row>
    <row r="136" spans="1:24" x14ac:dyDescent="0.2">
      <c r="A136" s="18">
        <v>45849</v>
      </c>
      <c r="B136" s="19" t="e">
        <f>IF(A136="","",VLOOKUP(Planilla!A136,#REF!,2,FALSE))</f>
        <v>#REF!</v>
      </c>
      <c r="C136" s="19" t="e">
        <f>IF(B136="","",VLOOKUP(Planilla!A136,#REF!,3,FALSE))</f>
        <v>#REF!</v>
      </c>
      <c r="D136" s="20" t="s">
        <v>30</v>
      </c>
      <c r="E136" s="21" t="s">
        <v>51</v>
      </c>
      <c r="F136" s="21" t="s">
        <v>52</v>
      </c>
      <c r="G136" s="21" t="s">
        <v>53</v>
      </c>
      <c r="H136" s="21" t="s">
        <v>72</v>
      </c>
      <c r="I136" s="36"/>
      <c r="J136" s="36">
        <v>500</v>
      </c>
      <c r="K136" s="21" t="s">
        <v>73</v>
      </c>
      <c r="L136" s="21"/>
      <c r="M136" s="24" t="e">
        <f>IF(K136="",0,VLOOKUP(K136,#REF!,2,FALSE))</f>
        <v>#REF!</v>
      </c>
      <c r="N136" s="24">
        <f>IF(L136="",0,VLOOKUP(L136,#REF!,2,FALSE))</f>
        <v>0</v>
      </c>
      <c r="O136" s="24" t="e">
        <f t="shared" si="4"/>
        <v>#REF!</v>
      </c>
      <c r="P136" s="24" t="e">
        <f>IF(F136="Barrido","",O136)</f>
        <v>#REF!</v>
      </c>
      <c r="Q136" s="24" t="str">
        <f>IF(F136="Barrido",O136,"")</f>
        <v/>
      </c>
      <c r="R136" s="24">
        <f>IF(I136&lt;&gt;"0",I136,"")</f>
        <v>0</v>
      </c>
      <c r="S136" s="22">
        <f>IF(J136&lt;&gt;"0",J136,"")</f>
        <v>500</v>
      </c>
      <c r="T136" s="23">
        <v>-0.2</v>
      </c>
      <c r="U136" s="23">
        <v>-2</v>
      </c>
      <c r="V136" s="23">
        <v>90</v>
      </c>
      <c r="W136" s="23">
        <v>998.2</v>
      </c>
      <c r="X136" s="23">
        <v>19</v>
      </c>
    </row>
    <row r="137" spans="1:24" x14ac:dyDescent="0.2">
      <c r="A137" s="18">
        <v>45853</v>
      </c>
      <c r="B137" s="19" t="e">
        <f>IF(A137="","",VLOOKUP(Planilla!A137,#REF!,2,FALSE))</f>
        <v>#REF!</v>
      </c>
      <c r="C137" s="19" t="e">
        <f>IF(B137="","",VLOOKUP(Planilla!A137,#REF!,3,FALSE))</f>
        <v>#REF!</v>
      </c>
      <c r="D137" s="20" t="s">
        <v>30</v>
      </c>
      <c r="E137" s="21" t="s">
        <v>43</v>
      </c>
      <c r="F137" s="21" t="s">
        <v>32</v>
      </c>
      <c r="G137" s="21" t="s">
        <v>65</v>
      </c>
      <c r="H137" s="21" t="s">
        <v>34</v>
      </c>
      <c r="I137" s="36">
        <v>125</v>
      </c>
      <c r="J137" s="36"/>
      <c r="K137" s="21" t="s">
        <v>50</v>
      </c>
      <c r="L137" s="21"/>
      <c r="M137" s="24" t="e">
        <f>IF(K137="",0,VLOOKUP(K137,#REF!,2,FALSE))</f>
        <v>#REF!</v>
      </c>
      <c r="N137" s="24">
        <f>IF(L137="",0,VLOOKUP(L137,#REF!,2,FALSE))</f>
        <v>0</v>
      </c>
      <c r="O137" s="24" t="e">
        <f t="shared" si="4"/>
        <v>#REF!</v>
      </c>
      <c r="P137" s="24" t="e">
        <f>IF(F137="Barrido","",O137)</f>
        <v>#REF!</v>
      </c>
      <c r="Q137" s="24" t="str">
        <f>IF(F137="Barrido",O137,"")</f>
        <v/>
      </c>
      <c r="R137" s="24">
        <f>IF(I137&lt;&gt;"0",I137,"")</f>
        <v>125</v>
      </c>
      <c r="S137" s="22">
        <f>IF(J137&lt;&gt;"0",J137,"")</f>
        <v>0</v>
      </c>
      <c r="T137" s="23">
        <v>0.5</v>
      </c>
      <c r="U137" s="23">
        <v>0</v>
      </c>
      <c r="V137" s="23">
        <v>99</v>
      </c>
      <c r="W137" s="23">
        <v>1012</v>
      </c>
      <c r="X137" s="23">
        <v>15</v>
      </c>
    </row>
    <row r="138" spans="1:24" x14ac:dyDescent="0.2">
      <c r="A138" s="18">
        <v>45853</v>
      </c>
      <c r="B138" s="19" t="e">
        <f>IF(A138="","",VLOOKUP(Planilla!A138,#REF!,2,FALSE))</f>
        <v>#REF!</v>
      </c>
      <c r="C138" s="19" t="e">
        <f>IF(B138="","",VLOOKUP(Planilla!A138,#REF!,3,FALSE))</f>
        <v>#REF!</v>
      </c>
      <c r="D138" s="20" t="s">
        <v>30</v>
      </c>
      <c r="E138" s="21" t="s">
        <v>43</v>
      </c>
      <c r="F138" s="21" t="s">
        <v>32</v>
      </c>
      <c r="G138" s="21" t="s">
        <v>65</v>
      </c>
      <c r="H138" s="21" t="s">
        <v>34</v>
      </c>
      <c r="I138" s="36">
        <v>500</v>
      </c>
      <c r="J138" s="36"/>
      <c r="K138" s="21" t="s">
        <v>37</v>
      </c>
      <c r="L138" s="21"/>
      <c r="M138" s="24" t="e">
        <f>IF(K138="",0,VLOOKUP(K138,#REF!,2,FALSE))</f>
        <v>#REF!</v>
      </c>
      <c r="N138" s="24">
        <f>IF(L138="",0,VLOOKUP(L138,#REF!,2,FALSE))</f>
        <v>0</v>
      </c>
      <c r="O138" s="24" t="e">
        <f t="shared" si="4"/>
        <v>#REF!</v>
      </c>
      <c r="P138" s="24" t="e">
        <f>IF(F138="Barrido","",O138)</f>
        <v>#REF!</v>
      </c>
      <c r="Q138" s="24" t="str">
        <f>IF(F138="Barrido",O138,"")</f>
        <v/>
      </c>
      <c r="R138" s="24">
        <f>IF(I138&lt;&gt;"0",I138,"")</f>
        <v>500</v>
      </c>
      <c r="S138" s="22">
        <f>IF(J138&lt;&gt;"0",J138,"")</f>
        <v>0</v>
      </c>
      <c r="T138" s="23">
        <v>0</v>
      </c>
      <c r="U138" s="23">
        <v>0</v>
      </c>
      <c r="V138" s="23">
        <v>99</v>
      </c>
      <c r="W138" s="23">
        <v>1013.5</v>
      </c>
      <c r="X138" s="23">
        <v>20</v>
      </c>
    </row>
    <row r="139" spans="1:24" x14ac:dyDescent="0.2">
      <c r="A139" s="18">
        <v>45853</v>
      </c>
      <c r="B139" s="19" t="e">
        <f>IF(A139="","",VLOOKUP(Planilla!A139,#REF!,2,FALSE))</f>
        <v>#REF!</v>
      </c>
      <c r="C139" s="19" t="e">
        <f>IF(B139="","",VLOOKUP(Planilla!A139,#REF!,3,FALSE))</f>
        <v>#REF!</v>
      </c>
      <c r="D139" s="20" t="s">
        <v>30</v>
      </c>
      <c r="E139" s="21" t="s">
        <v>31</v>
      </c>
      <c r="F139" s="21" t="s">
        <v>32</v>
      </c>
      <c r="G139" s="21" t="s">
        <v>65</v>
      </c>
      <c r="H139" s="21" t="s">
        <v>34</v>
      </c>
      <c r="I139" s="36">
        <v>2000</v>
      </c>
      <c r="J139" s="36"/>
      <c r="K139" s="21" t="s">
        <v>35</v>
      </c>
      <c r="L139" s="21" t="s">
        <v>59</v>
      </c>
      <c r="M139" s="24" t="e">
        <f>IF(K139="",0,VLOOKUP(K139,#REF!,2,FALSE))</f>
        <v>#REF!</v>
      </c>
      <c r="N139" s="24" t="e">
        <f>IF(L139="",0,VLOOKUP(L139,#REF!,2,FALSE))</f>
        <v>#REF!</v>
      </c>
      <c r="O139" s="24" t="e">
        <f t="shared" si="4"/>
        <v>#REF!</v>
      </c>
      <c r="P139" s="24" t="e">
        <f>IF(F139="Barrido","",O139)</f>
        <v>#REF!</v>
      </c>
      <c r="Q139" s="24" t="str">
        <f>IF(F139="Barrido",O139,"")</f>
        <v/>
      </c>
      <c r="R139" s="24">
        <f>IF(I139&lt;&gt;"0",I139,"")</f>
        <v>2000</v>
      </c>
      <c r="S139" s="22">
        <f>IF(J139&lt;&gt;"0",J139,"")</f>
        <v>0</v>
      </c>
      <c r="T139" s="23">
        <v>4</v>
      </c>
      <c r="U139" s="23">
        <v>2</v>
      </c>
      <c r="V139" s="23">
        <v>98</v>
      </c>
      <c r="W139" s="23">
        <v>1017</v>
      </c>
      <c r="X139" s="23">
        <v>18</v>
      </c>
    </row>
    <row r="140" spans="1:24" x14ac:dyDescent="0.2">
      <c r="A140" s="18">
        <v>45853</v>
      </c>
      <c r="B140" s="19" t="e">
        <f>IF(A140="","",VLOOKUP(Planilla!A140,#REF!,2,FALSE))</f>
        <v>#REF!</v>
      </c>
      <c r="C140" s="19" t="e">
        <f>IF(B140="","",VLOOKUP(Planilla!A140,#REF!,3,FALSE))</f>
        <v>#REF!</v>
      </c>
      <c r="D140" s="20" t="s">
        <v>30</v>
      </c>
      <c r="E140" s="21" t="s">
        <v>31</v>
      </c>
      <c r="F140" s="21" t="s">
        <v>47</v>
      </c>
      <c r="G140" s="21" t="s">
        <v>48</v>
      </c>
      <c r="H140" s="21" t="s">
        <v>49</v>
      </c>
      <c r="I140" s="36"/>
      <c r="J140" s="36"/>
      <c r="K140" s="21" t="s">
        <v>50</v>
      </c>
      <c r="L140" s="21"/>
      <c r="M140" s="24" t="e">
        <f>IF(K140="",0,VLOOKUP(K140,#REF!,2,FALSE))</f>
        <v>#REF!</v>
      </c>
      <c r="N140" s="24">
        <f>IF(L140="",0,VLOOKUP(L140,#REF!,2,FALSE))</f>
        <v>0</v>
      </c>
      <c r="O140" s="24" t="e">
        <f t="shared" si="4"/>
        <v>#REF!</v>
      </c>
      <c r="P140" s="24" t="str">
        <f>IF(F140="Barrido","",O140)</f>
        <v/>
      </c>
      <c r="Q140" s="24" t="e">
        <f>IF(F140="Barrido",O140,"")</f>
        <v>#REF!</v>
      </c>
      <c r="R140" s="24">
        <f>IF(I140&lt;&gt;"0",I140,"")</f>
        <v>0</v>
      </c>
      <c r="S140" s="22">
        <f>IF(J140&lt;&gt;"0",J140,"")</f>
        <v>0</v>
      </c>
      <c r="T140" s="23">
        <v>4</v>
      </c>
      <c r="U140" s="23">
        <v>2</v>
      </c>
      <c r="V140" s="23">
        <v>97</v>
      </c>
      <c r="W140" s="23">
        <v>1018</v>
      </c>
      <c r="X140" s="23">
        <v>24</v>
      </c>
    </row>
    <row r="141" spans="1:24" x14ac:dyDescent="0.2">
      <c r="A141" s="18">
        <v>45854</v>
      </c>
      <c r="B141" s="19" t="e">
        <f>IF(A141="","",VLOOKUP(Planilla!A141,#REF!,2,FALSE))</f>
        <v>#REF!</v>
      </c>
      <c r="C141" s="19" t="e">
        <f>IF(B141="","",VLOOKUP(Planilla!A141,#REF!,3,FALSE))</f>
        <v>#REF!</v>
      </c>
      <c r="D141" s="20" t="s">
        <v>30</v>
      </c>
      <c r="E141" s="21" t="s">
        <v>60</v>
      </c>
      <c r="F141" s="21" t="s">
        <v>47</v>
      </c>
      <c r="G141" s="21" t="s">
        <v>48</v>
      </c>
      <c r="H141" s="21" t="s">
        <v>49</v>
      </c>
      <c r="I141" s="36"/>
      <c r="J141" s="36"/>
      <c r="K141" s="21" t="s">
        <v>50</v>
      </c>
      <c r="L141" s="21"/>
      <c r="M141" s="24" t="e">
        <f>IF(K141="",0,VLOOKUP(K141,#REF!,2,FALSE))</f>
        <v>#REF!</v>
      </c>
      <c r="N141" s="24">
        <f>IF(L141="",0,VLOOKUP(L141,#REF!,2,FALSE))</f>
        <v>0</v>
      </c>
      <c r="O141" s="24" t="e">
        <f t="shared" si="4"/>
        <v>#REF!</v>
      </c>
      <c r="P141" s="24" t="str">
        <f>IF(F141="Barrido","",O141)</f>
        <v/>
      </c>
      <c r="Q141" s="24" t="e">
        <f>IF(F141="Barrido",O141,"")</f>
        <v>#REF!</v>
      </c>
      <c r="R141" s="24">
        <f>IF(I141&lt;&gt;"0",I141,"")</f>
        <v>0</v>
      </c>
      <c r="S141" s="22">
        <f>IF(J141&lt;&gt;"0",J141,"")</f>
        <v>0</v>
      </c>
      <c r="T141" s="23">
        <v>0</v>
      </c>
      <c r="U141" s="23">
        <v>-1</v>
      </c>
      <c r="V141" s="23">
        <v>98</v>
      </c>
      <c r="W141" s="23">
        <v>988.2</v>
      </c>
      <c r="X141" s="23">
        <v>10</v>
      </c>
    </row>
    <row r="142" spans="1:24" x14ac:dyDescent="0.2">
      <c r="A142" s="18">
        <v>45854</v>
      </c>
      <c r="B142" s="19" t="e">
        <f>IF(A142="","",VLOOKUP(Planilla!A142,#REF!,2,FALSE))</f>
        <v>#REF!</v>
      </c>
      <c r="C142" s="19" t="e">
        <f>IF(B142="","",VLOOKUP(Planilla!A142,#REF!,3,FALSE))</f>
        <v>#REF!</v>
      </c>
      <c r="D142" s="20" t="s">
        <v>30</v>
      </c>
      <c r="E142" s="21" t="s">
        <v>60</v>
      </c>
      <c r="F142" s="21" t="s">
        <v>32</v>
      </c>
      <c r="G142" s="21" t="s">
        <v>65</v>
      </c>
      <c r="H142" s="21" t="s">
        <v>34</v>
      </c>
      <c r="I142" s="36">
        <v>2000</v>
      </c>
      <c r="J142" s="36"/>
      <c r="K142" s="21" t="s">
        <v>35</v>
      </c>
      <c r="L142" s="21" t="s">
        <v>61</v>
      </c>
      <c r="M142" s="24" t="e">
        <f>IF(K142="",0,VLOOKUP(K142,#REF!,2,FALSE))</f>
        <v>#REF!</v>
      </c>
      <c r="N142" s="24" t="e">
        <f>IF(L142="",0,VLOOKUP(L142,#REF!,2,FALSE))</f>
        <v>#REF!</v>
      </c>
      <c r="O142" s="24" t="e">
        <f t="shared" si="4"/>
        <v>#REF!</v>
      </c>
      <c r="P142" s="24" t="e">
        <f>IF(F142="Barrido","",O142)</f>
        <v>#REF!</v>
      </c>
      <c r="Q142" s="24" t="str">
        <f>IF(F142="Barrido",O142,"")</f>
        <v/>
      </c>
      <c r="R142" s="24">
        <f>IF(I142&lt;&gt;"0",I142,"")</f>
        <v>2000</v>
      </c>
      <c r="S142" s="22">
        <f>IF(J142&lt;&gt;"0",J142,"")</f>
        <v>0</v>
      </c>
      <c r="T142" s="23">
        <v>-0.2</v>
      </c>
      <c r="U142" s="23">
        <v>-1</v>
      </c>
      <c r="V142" s="23">
        <v>98</v>
      </c>
      <c r="W142" s="23">
        <v>988.5</v>
      </c>
      <c r="X142" s="23">
        <v>13</v>
      </c>
    </row>
    <row r="143" spans="1:24" x14ac:dyDescent="0.2">
      <c r="A143" s="18">
        <v>45854</v>
      </c>
      <c r="B143" s="19" t="e">
        <f>IF(A143="","",VLOOKUP(Planilla!A143,#REF!,2,FALSE))</f>
        <v>#REF!</v>
      </c>
      <c r="C143" s="19" t="e">
        <f>IF(B143="","",VLOOKUP(Planilla!A143,#REF!,3,FALSE))</f>
        <v>#REF!</v>
      </c>
      <c r="D143" s="20" t="s">
        <v>30</v>
      </c>
      <c r="E143" s="21" t="s">
        <v>60</v>
      </c>
      <c r="F143" s="21" t="s">
        <v>39</v>
      </c>
      <c r="G143" s="21" t="s">
        <v>40</v>
      </c>
      <c r="H143" s="21" t="s">
        <v>41</v>
      </c>
      <c r="I143" s="36"/>
      <c r="J143" s="36"/>
      <c r="K143" s="21" t="s">
        <v>42</v>
      </c>
      <c r="L143" s="21"/>
      <c r="M143" s="24" t="e">
        <f>IF(K143="",0,VLOOKUP(K143,#REF!,2,FALSE))</f>
        <v>#REF!</v>
      </c>
      <c r="N143" s="24">
        <f>IF(L143="",0,VLOOKUP(L143,#REF!,2,FALSE))</f>
        <v>0</v>
      </c>
      <c r="O143" s="24" t="e">
        <f t="shared" ref="O143:O206" si="7">M143+N143</f>
        <v>#REF!</v>
      </c>
      <c r="P143" s="24" t="e">
        <f>IF(F143="Barrido","",O143)</f>
        <v>#REF!</v>
      </c>
      <c r="Q143" s="24" t="str">
        <f>IF(F143="Barrido",O143,"")</f>
        <v/>
      </c>
      <c r="R143" s="24">
        <f>IF(I143&lt;&gt;"0",I143,"")</f>
        <v>0</v>
      </c>
      <c r="S143" s="22">
        <f>IF(J143&lt;&gt;"0",J143,"")</f>
        <v>0</v>
      </c>
      <c r="T143" s="23">
        <v>0.08</v>
      </c>
      <c r="U143" s="23">
        <v>0</v>
      </c>
      <c r="V143" s="23">
        <v>98</v>
      </c>
      <c r="W143" s="23">
        <v>989.2</v>
      </c>
      <c r="X143" s="23">
        <v>13</v>
      </c>
    </row>
    <row r="144" spans="1:24" x14ac:dyDescent="0.2">
      <c r="A144" s="18">
        <v>45855</v>
      </c>
      <c r="B144" s="19" t="e">
        <f>IF(A144="","",VLOOKUP(Planilla!A144,#REF!,2,FALSE))</f>
        <v>#REF!</v>
      </c>
      <c r="C144" s="19" t="e">
        <f>IF(B144="","",VLOOKUP(Planilla!A144,#REF!,3,FALSE))</f>
        <v>#REF!</v>
      </c>
      <c r="D144" s="20" t="s">
        <v>30</v>
      </c>
      <c r="E144" s="21" t="s">
        <v>60</v>
      </c>
      <c r="F144" s="21" t="s">
        <v>39</v>
      </c>
      <c r="G144" s="21" t="s">
        <v>40</v>
      </c>
      <c r="H144" s="21" t="s">
        <v>41</v>
      </c>
      <c r="I144" s="36"/>
      <c r="J144" s="36"/>
      <c r="K144" s="21" t="s">
        <v>42</v>
      </c>
      <c r="L144" s="21"/>
      <c r="M144" s="24" t="e">
        <f>IF(K144="",0,VLOOKUP(K144,#REF!,2,FALSE))</f>
        <v>#REF!</v>
      </c>
      <c r="N144" s="24">
        <f>IF(L144="",0,VLOOKUP(L144,#REF!,2,FALSE))</f>
        <v>0</v>
      </c>
      <c r="O144" s="24" t="e">
        <f t="shared" si="7"/>
        <v>#REF!</v>
      </c>
      <c r="P144" s="24" t="e">
        <f>IF(F144="Barrido","",O144)</f>
        <v>#REF!</v>
      </c>
      <c r="Q144" s="24" t="str">
        <f>IF(F144="Barrido",O144,"")</f>
        <v/>
      </c>
      <c r="R144" s="24">
        <f>IF(I144&lt;&gt;"0",I144,"")</f>
        <v>0</v>
      </c>
      <c r="S144" s="22">
        <f>IF(J144&lt;&gt;"0",J144,"")</f>
        <v>0</v>
      </c>
      <c r="T144" s="23">
        <v>1.4</v>
      </c>
      <c r="U144" s="23">
        <v>1</v>
      </c>
      <c r="V144" s="23">
        <v>91</v>
      </c>
      <c r="W144" s="23">
        <v>989.3</v>
      </c>
      <c r="X144" s="23">
        <v>26</v>
      </c>
    </row>
    <row r="145" spans="1:24" x14ac:dyDescent="0.2">
      <c r="A145" s="18">
        <v>45855</v>
      </c>
      <c r="B145" s="19" t="e">
        <f>IF(A145="","",VLOOKUP(Planilla!A145,#REF!,2,FALSE))</f>
        <v>#REF!</v>
      </c>
      <c r="C145" s="19" t="e">
        <f>IF(B145="","",VLOOKUP(Planilla!A145,#REF!,3,FALSE))</f>
        <v>#REF!</v>
      </c>
      <c r="D145" s="20" t="s">
        <v>30</v>
      </c>
      <c r="E145" s="21" t="s">
        <v>60</v>
      </c>
      <c r="F145" s="21" t="s">
        <v>32</v>
      </c>
      <c r="G145" s="21" t="s">
        <v>65</v>
      </c>
      <c r="H145" s="21" t="s">
        <v>34</v>
      </c>
      <c r="I145" s="36">
        <v>1675</v>
      </c>
      <c r="J145" s="36"/>
      <c r="K145" s="21" t="s">
        <v>35</v>
      </c>
      <c r="L145" s="21"/>
      <c r="M145" s="24" t="e">
        <f>IF(K145="",0,VLOOKUP(K145,#REF!,2,FALSE))</f>
        <v>#REF!</v>
      </c>
      <c r="N145" s="24">
        <f>IF(L145="",0,VLOOKUP(L145,#REF!,2,FALSE))</f>
        <v>0</v>
      </c>
      <c r="O145" s="24" t="e">
        <f t="shared" si="7"/>
        <v>#REF!</v>
      </c>
      <c r="P145" s="24" t="e">
        <f>IF(F145="Barrido","",O145)</f>
        <v>#REF!</v>
      </c>
      <c r="Q145" s="24" t="str">
        <f>IF(F145="Barrido",O145,"")</f>
        <v/>
      </c>
      <c r="R145" s="24">
        <f>IF(I145&lt;&gt;"0",I145,"")</f>
        <v>1675</v>
      </c>
      <c r="S145" s="22">
        <f>IF(J145&lt;&gt;"0",J145,"")</f>
        <v>0</v>
      </c>
      <c r="T145" s="23">
        <v>1.9</v>
      </c>
      <c r="U145" s="23">
        <v>0</v>
      </c>
      <c r="V145" s="23">
        <v>90</v>
      </c>
      <c r="W145" s="23">
        <v>990.8</v>
      </c>
      <c r="X145" s="23">
        <v>34</v>
      </c>
    </row>
    <row r="146" spans="1:24" x14ac:dyDescent="0.2">
      <c r="A146" s="18">
        <v>45855</v>
      </c>
      <c r="B146" s="19" t="e">
        <f>IF(A146="","",VLOOKUP(Planilla!A146,#REF!,2,FALSE))</f>
        <v>#REF!</v>
      </c>
      <c r="C146" s="19" t="e">
        <f>IF(B146="","",VLOOKUP(Planilla!A146,#REF!,3,FALSE))</f>
        <v>#REF!</v>
      </c>
      <c r="D146" s="20" t="s">
        <v>30</v>
      </c>
      <c r="E146" s="21" t="s">
        <v>60</v>
      </c>
      <c r="F146" s="21" t="s">
        <v>39</v>
      </c>
      <c r="G146" s="21" t="s">
        <v>40</v>
      </c>
      <c r="H146" s="21" t="s">
        <v>41</v>
      </c>
      <c r="I146" s="36"/>
      <c r="J146" s="36"/>
      <c r="K146" s="21" t="s">
        <v>42</v>
      </c>
      <c r="L146" s="21"/>
      <c r="M146" s="24" t="e">
        <f>IF(K146="",0,VLOOKUP(K146,#REF!,2,FALSE))</f>
        <v>#REF!</v>
      </c>
      <c r="N146" s="24">
        <f>IF(L146="",0,VLOOKUP(L146,#REF!,2,FALSE))</f>
        <v>0</v>
      </c>
      <c r="O146" s="24" t="e">
        <f t="shared" si="7"/>
        <v>#REF!</v>
      </c>
      <c r="P146" s="24" t="e">
        <f>IF(F146="Barrido","",O146)</f>
        <v>#REF!</v>
      </c>
      <c r="Q146" s="24" t="str">
        <f>IF(F146="Barrido",O146,"")</f>
        <v/>
      </c>
      <c r="R146" s="24">
        <f>IF(I146&lt;&gt;"0",I146,"")</f>
        <v>0</v>
      </c>
      <c r="S146" s="22">
        <f>IF(J146&lt;&gt;"0",J146,"")</f>
        <v>0</v>
      </c>
      <c r="T146" s="23">
        <v>1.1000000000000001</v>
      </c>
      <c r="U146" s="23">
        <v>-1</v>
      </c>
      <c r="V146" s="23">
        <v>90</v>
      </c>
      <c r="W146" s="23">
        <v>990.8</v>
      </c>
      <c r="X146" s="23">
        <v>30</v>
      </c>
    </row>
    <row r="147" spans="1:24" x14ac:dyDescent="0.2">
      <c r="A147" s="18">
        <v>45855</v>
      </c>
      <c r="B147" s="19" t="e">
        <f>IF(A147="","",VLOOKUP(Planilla!A147,#REF!,2,FALSE))</f>
        <v>#REF!</v>
      </c>
      <c r="C147" s="19" t="e">
        <f>IF(B147="","",VLOOKUP(Planilla!A147,#REF!,3,FALSE))</f>
        <v>#REF!</v>
      </c>
      <c r="D147" s="20" t="s">
        <v>55</v>
      </c>
      <c r="E147" s="21" t="s">
        <v>60</v>
      </c>
      <c r="F147" s="21" t="s">
        <v>52</v>
      </c>
      <c r="G147" s="21" t="s">
        <v>53</v>
      </c>
      <c r="H147" s="21" t="s">
        <v>54</v>
      </c>
      <c r="I147" s="36"/>
      <c r="J147" s="36">
        <v>1600</v>
      </c>
      <c r="K147" s="21" t="s">
        <v>35</v>
      </c>
      <c r="L147" s="21"/>
      <c r="M147" s="24" t="e">
        <f>IF(K147="",0,VLOOKUP(K147,#REF!,2,FALSE))</f>
        <v>#REF!</v>
      </c>
      <c r="N147" s="24">
        <f>IF(L147="",0,VLOOKUP(L147,#REF!,2,FALSE))</f>
        <v>0</v>
      </c>
      <c r="O147" s="24" t="e">
        <f t="shared" si="7"/>
        <v>#REF!</v>
      </c>
      <c r="P147" s="24" t="e">
        <f>IF(F147="Barrido","",O147)</f>
        <v>#REF!</v>
      </c>
      <c r="Q147" s="24" t="str">
        <f>IF(F147="Barrido",O147,"")</f>
        <v/>
      </c>
      <c r="R147" s="24">
        <f>IF(I147&lt;&gt;"0",I147,"")</f>
        <v>0</v>
      </c>
      <c r="S147" s="22">
        <f>IF(J147&lt;&gt;"0",J147,"")</f>
        <v>1600</v>
      </c>
      <c r="T147" s="23">
        <v>1.5</v>
      </c>
      <c r="U147" s="23">
        <v>-1</v>
      </c>
      <c r="V147" s="23">
        <v>88</v>
      </c>
      <c r="W147" s="23">
        <v>992.2</v>
      </c>
      <c r="X147" s="23">
        <v>23</v>
      </c>
    </row>
    <row r="148" spans="1:24" x14ac:dyDescent="0.2">
      <c r="A148" s="18">
        <v>45855</v>
      </c>
      <c r="B148" s="19" t="e">
        <f>IF(A148="","",VLOOKUP(Planilla!A148,#REF!,2,FALSE))</f>
        <v>#REF!</v>
      </c>
      <c r="C148" s="19" t="e">
        <f>IF(B148="","",VLOOKUP(Planilla!A148,#REF!,3,FALSE))</f>
        <v>#REF!</v>
      </c>
      <c r="D148" s="20" t="s">
        <v>30</v>
      </c>
      <c r="E148" s="21" t="s">
        <v>60</v>
      </c>
      <c r="F148" s="21" t="s">
        <v>39</v>
      </c>
      <c r="G148" s="21" t="s">
        <v>40</v>
      </c>
      <c r="H148" s="21" t="s">
        <v>41</v>
      </c>
      <c r="I148" s="36"/>
      <c r="J148" s="36"/>
      <c r="K148" s="21" t="s">
        <v>42</v>
      </c>
      <c r="L148" s="21"/>
      <c r="M148" s="24" t="e">
        <f>IF(K148="",0,VLOOKUP(K148,#REF!,2,FALSE))</f>
        <v>#REF!</v>
      </c>
      <c r="N148" s="24">
        <f>IF(L148="",0,VLOOKUP(L148,#REF!,2,FALSE))</f>
        <v>0</v>
      </c>
      <c r="O148" s="24" t="e">
        <f t="shared" si="7"/>
        <v>#REF!</v>
      </c>
      <c r="P148" s="24" t="e">
        <f>IF(F148="Barrido","",O148)</f>
        <v>#REF!</v>
      </c>
      <c r="Q148" s="24" t="str">
        <f>IF(F148="Barrido",O148,"")</f>
        <v/>
      </c>
      <c r="R148" s="24">
        <f>IF(I148&lt;&gt;"0",I148,"")</f>
        <v>0</v>
      </c>
      <c r="S148" s="22">
        <f>IF(J148&lt;&gt;"0",J148,"")</f>
        <v>0</v>
      </c>
      <c r="T148" s="23">
        <v>1.5</v>
      </c>
      <c r="U148" s="23">
        <v>-1</v>
      </c>
      <c r="V148" s="23">
        <v>88</v>
      </c>
      <c r="W148" s="23">
        <v>992.2</v>
      </c>
      <c r="X148" s="23">
        <v>23</v>
      </c>
    </row>
    <row r="149" spans="1:24" x14ac:dyDescent="0.2">
      <c r="A149" s="18">
        <v>45855</v>
      </c>
      <c r="B149" s="19" t="e">
        <f>IF(A149="","",VLOOKUP(Planilla!A149,#REF!,2,FALSE))</f>
        <v>#REF!</v>
      </c>
      <c r="C149" s="19" t="e">
        <f>IF(B149="","",VLOOKUP(Planilla!A149,#REF!,3,FALSE))</f>
        <v>#REF!</v>
      </c>
      <c r="D149" s="20" t="s">
        <v>30</v>
      </c>
      <c r="E149" s="21" t="s">
        <v>60</v>
      </c>
      <c r="F149" s="21" t="s">
        <v>39</v>
      </c>
      <c r="G149" s="21" t="s">
        <v>75</v>
      </c>
      <c r="H149" s="21" t="s">
        <v>41</v>
      </c>
      <c r="I149" s="36"/>
      <c r="J149" s="36"/>
      <c r="K149" s="21" t="s">
        <v>42</v>
      </c>
      <c r="L149" s="21"/>
      <c r="M149" s="24" t="e">
        <f>IF(K149="",0,VLOOKUP(K149,#REF!,2,FALSE))</f>
        <v>#REF!</v>
      </c>
      <c r="N149" s="24">
        <f>IF(L149="",0,VLOOKUP(L149,#REF!,2,FALSE))</f>
        <v>0</v>
      </c>
      <c r="O149" s="24" t="e">
        <f t="shared" si="7"/>
        <v>#REF!</v>
      </c>
      <c r="P149" s="24" t="e">
        <f>IF(F149="Barrido","",O149)</f>
        <v>#REF!</v>
      </c>
      <c r="Q149" s="24" t="str">
        <f>IF(F149="Barrido",O149,"")</f>
        <v/>
      </c>
      <c r="R149" s="24">
        <f>IF(I149&lt;&gt;"0",I149,"")</f>
        <v>0</v>
      </c>
      <c r="S149" s="22">
        <f>IF(J149&lt;&gt;"0",J149,"")</f>
        <v>0</v>
      </c>
      <c r="T149" s="23">
        <v>0.1</v>
      </c>
      <c r="U149" s="23">
        <v>-0.2</v>
      </c>
      <c r="V149" s="23">
        <v>88</v>
      </c>
      <c r="W149" s="23">
        <v>998</v>
      </c>
      <c r="X149" s="23">
        <v>15</v>
      </c>
    </row>
    <row r="150" spans="1:24" x14ac:dyDescent="0.2">
      <c r="A150" s="18">
        <v>45855</v>
      </c>
      <c r="B150" s="19" t="e">
        <f>IF(A150="","",VLOOKUP(Planilla!A150,#REF!,2,FALSE))</f>
        <v>#REF!</v>
      </c>
      <c r="C150" s="19" t="e">
        <f>IF(B150="","",VLOOKUP(Planilla!A150,#REF!,3,FALSE))</f>
        <v>#REF!</v>
      </c>
      <c r="D150" s="20" t="s">
        <v>30</v>
      </c>
      <c r="E150" s="21" t="s">
        <v>60</v>
      </c>
      <c r="F150" s="21" t="s">
        <v>32</v>
      </c>
      <c r="G150" s="21" t="s">
        <v>65</v>
      </c>
      <c r="H150" s="21" t="s">
        <v>34</v>
      </c>
      <c r="I150" s="36">
        <v>1125</v>
      </c>
      <c r="J150" s="36"/>
      <c r="K150" s="21" t="s">
        <v>35</v>
      </c>
      <c r="L150" s="21"/>
      <c r="M150" s="24" t="e">
        <f>IF(K150="",0,VLOOKUP(K150,#REF!,2,FALSE))</f>
        <v>#REF!</v>
      </c>
      <c r="N150" s="24">
        <f>IF(L150="",0,VLOOKUP(L150,#REF!,2,FALSE))</f>
        <v>0</v>
      </c>
      <c r="O150" s="24" t="e">
        <f t="shared" si="7"/>
        <v>#REF!</v>
      </c>
      <c r="P150" s="24" t="e">
        <f>IF(F150="Barrido","",O150)</f>
        <v>#REF!</v>
      </c>
      <c r="Q150" s="24" t="str">
        <f>IF(F150="Barrido",O150,"")</f>
        <v/>
      </c>
      <c r="R150" s="24">
        <f>IF(I150&lt;&gt;"0",I150,"")</f>
        <v>1125</v>
      </c>
      <c r="S150" s="22">
        <f>IF(J150&lt;&gt;"0",J150,"")</f>
        <v>0</v>
      </c>
      <c r="T150" s="23">
        <v>2</v>
      </c>
      <c r="U150" s="23">
        <v>-2</v>
      </c>
      <c r="V150" s="23">
        <v>86</v>
      </c>
      <c r="W150" s="23">
        <v>1013</v>
      </c>
      <c r="X150" s="23">
        <v>18</v>
      </c>
    </row>
    <row r="151" spans="1:24" x14ac:dyDescent="0.2">
      <c r="A151" s="18">
        <v>45855</v>
      </c>
      <c r="B151" s="19" t="e">
        <f>IF(A151="","",VLOOKUP(Planilla!A151,#REF!,2,FALSE))</f>
        <v>#REF!</v>
      </c>
      <c r="C151" s="19" t="e">
        <f>IF(B151="","",VLOOKUP(Planilla!A151,#REF!,3,FALSE))</f>
        <v>#REF!</v>
      </c>
      <c r="D151" s="20" t="s">
        <v>30</v>
      </c>
      <c r="E151" s="21" t="s">
        <v>51</v>
      </c>
      <c r="F151" s="21" t="s">
        <v>39</v>
      </c>
      <c r="G151" s="21" t="s">
        <v>40</v>
      </c>
      <c r="H151" s="21" t="s">
        <v>41</v>
      </c>
      <c r="I151" s="36"/>
      <c r="J151" s="36"/>
      <c r="K151" s="21" t="s">
        <v>42</v>
      </c>
      <c r="L151" s="21"/>
      <c r="M151" s="24" t="e">
        <f>IF(K151="",0,VLOOKUP(K151,#REF!,2,FALSE))</f>
        <v>#REF!</v>
      </c>
      <c r="N151" s="24">
        <f>IF(L151="",0,VLOOKUP(L151,#REF!,2,FALSE))</f>
        <v>0</v>
      </c>
      <c r="O151" s="24" t="e">
        <f t="shared" si="7"/>
        <v>#REF!</v>
      </c>
      <c r="P151" s="24" t="e">
        <f>IF(F151="Barrido","",O151)</f>
        <v>#REF!</v>
      </c>
      <c r="Q151" s="24" t="str">
        <f>IF(F151="Barrido",O151,"")</f>
        <v/>
      </c>
      <c r="R151" s="24">
        <f>IF(I151&lt;&gt;"0",I151,"")</f>
        <v>0</v>
      </c>
      <c r="S151" s="22">
        <f>IF(J151&lt;&gt;"0",J151,"")</f>
        <v>0</v>
      </c>
      <c r="T151" s="23">
        <v>-0.5</v>
      </c>
      <c r="U151" s="23">
        <v>-2</v>
      </c>
      <c r="V151" s="23">
        <v>82</v>
      </c>
      <c r="W151" s="23">
        <v>991</v>
      </c>
      <c r="X151" s="23">
        <v>19</v>
      </c>
    </row>
    <row r="152" spans="1:24" x14ac:dyDescent="0.2">
      <c r="A152" s="18">
        <v>45856</v>
      </c>
      <c r="B152" s="19" t="e">
        <f>IF(A152="","",VLOOKUP(Planilla!A152,#REF!,2,FALSE))</f>
        <v>#REF!</v>
      </c>
      <c r="C152" s="19" t="e">
        <f>IF(B152="","",VLOOKUP(Planilla!A152,#REF!,3,FALSE))</f>
        <v>#REF!</v>
      </c>
      <c r="D152" s="20" t="s">
        <v>30</v>
      </c>
      <c r="E152" s="21" t="s">
        <v>51</v>
      </c>
      <c r="F152" s="21" t="s">
        <v>39</v>
      </c>
      <c r="G152" s="21" t="s">
        <v>40</v>
      </c>
      <c r="H152" s="21" t="s">
        <v>41</v>
      </c>
      <c r="I152" s="36"/>
      <c r="J152" s="36"/>
      <c r="K152" s="21" t="s">
        <v>42</v>
      </c>
      <c r="L152" s="21"/>
      <c r="M152" s="24" t="e">
        <f>IF(K152="",0,VLOOKUP(K152,#REF!,2,FALSE))</f>
        <v>#REF!</v>
      </c>
      <c r="N152" s="24">
        <f>IF(L152="",0,VLOOKUP(L152,#REF!,2,FALSE))</f>
        <v>0</v>
      </c>
      <c r="O152" s="24" t="e">
        <f t="shared" si="7"/>
        <v>#REF!</v>
      </c>
      <c r="P152" s="24" t="e">
        <f>IF(F152="Barrido","",O152)</f>
        <v>#REF!</v>
      </c>
      <c r="Q152" s="24" t="str">
        <f>IF(F152="Barrido",O152,"")</f>
        <v/>
      </c>
      <c r="R152" s="24">
        <f>IF(I152&lt;&gt;"0",I152,"")</f>
        <v>0</v>
      </c>
      <c r="S152" s="22">
        <f>IF(J152&lt;&gt;"0",J152,"")</f>
        <v>0</v>
      </c>
      <c r="T152" s="23">
        <v>-0.4</v>
      </c>
      <c r="U152" s="23">
        <v>-2</v>
      </c>
      <c r="V152" s="23">
        <v>89</v>
      </c>
      <c r="W152" s="23">
        <v>987.8</v>
      </c>
      <c r="X152" s="23">
        <v>19</v>
      </c>
    </row>
    <row r="153" spans="1:24" x14ac:dyDescent="0.2">
      <c r="A153" s="18">
        <v>45856</v>
      </c>
      <c r="B153" s="19" t="e">
        <f>IF(A153="","",VLOOKUP(Planilla!A153,#REF!,2,FALSE))</f>
        <v>#REF!</v>
      </c>
      <c r="C153" s="19" t="e">
        <f>IF(B153="","",VLOOKUP(Planilla!A153,#REF!,3,FALSE))</f>
        <v>#REF!</v>
      </c>
      <c r="D153" s="20" t="s">
        <v>30</v>
      </c>
      <c r="E153" s="21" t="s">
        <v>51</v>
      </c>
      <c r="F153" s="21" t="s">
        <v>39</v>
      </c>
      <c r="G153" s="21" t="s">
        <v>40</v>
      </c>
      <c r="H153" s="21" t="s">
        <v>41</v>
      </c>
      <c r="I153" s="36"/>
      <c r="J153" s="36"/>
      <c r="K153" s="21" t="s">
        <v>42</v>
      </c>
      <c r="L153" s="21"/>
      <c r="M153" s="24" t="e">
        <f>IF(K153="",0,VLOOKUP(K153,#REF!,2,FALSE))</f>
        <v>#REF!</v>
      </c>
      <c r="N153" s="24">
        <f>IF(L153="",0,VLOOKUP(L153,#REF!,2,FALSE))</f>
        <v>0</v>
      </c>
      <c r="O153" s="24" t="e">
        <f t="shared" si="7"/>
        <v>#REF!</v>
      </c>
      <c r="P153" s="24" t="e">
        <f>IF(F153="Barrido","",O153)</f>
        <v>#REF!</v>
      </c>
      <c r="Q153" s="24" t="str">
        <f>IF(F153="Barrido",O153,"")</f>
        <v/>
      </c>
      <c r="R153" s="24">
        <f>IF(I153&lt;&gt;"0",I153,"")</f>
        <v>0</v>
      </c>
      <c r="S153" s="22">
        <f>IF(J153&lt;&gt;"0",J153,"")</f>
        <v>0</v>
      </c>
      <c r="T153" s="23">
        <v>0.3</v>
      </c>
      <c r="U153" s="23">
        <v>-2</v>
      </c>
      <c r="V153" s="23">
        <v>90</v>
      </c>
      <c r="W153" s="23">
        <v>985.4</v>
      </c>
      <c r="X153" s="23">
        <v>21</v>
      </c>
    </row>
    <row r="154" spans="1:24" x14ac:dyDescent="0.2">
      <c r="A154" s="18">
        <v>45856</v>
      </c>
      <c r="B154" s="19" t="e">
        <f>IF(A154="","",VLOOKUP(Planilla!A154,#REF!,2,FALSE))</f>
        <v>#REF!</v>
      </c>
      <c r="C154" s="19" t="e">
        <f>IF(B154="","",VLOOKUP(Planilla!A154,#REF!,3,FALSE))</f>
        <v>#REF!</v>
      </c>
      <c r="D154" s="20" t="s">
        <v>30</v>
      </c>
      <c r="E154" s="21" t="s">
        <v>51</v>
      </c>
      <c r="F154" s="21" t="s">
        <v>39</v>
      </c>
      <c r="G154" s="21" t="s">
        <v>40</v>
      </c>
      <c r="H154" s="21" t="s">
        <v>41</v>
      </c>
      <c r="I154" s="36"/>
      <c r="J154" s="36"/>
      <c r="K154" s="21" t="s">
        <v>42</v>
      </c>
      <c r="L154" s="21"/>
      <c r="M154" s="24" t="e">
        <f>IF(K154="",0,VLOOKUP(K154,#REF!,2,FALSE))</f>
        <v>#REF!</v>
      </c>
      <c r="N154" s="24">
        <f>IF(L154="",0,VLOOKUP(L154,#REF!,2,FALSE))</f>
        <v>0</v>
      </c>
      <c r="O154" s="24" t="e">
        <f t="shared" si="7"/>
        <v>#REF!</v>
      </c>
      <c r="P154" s="24" t="e">
        <f>IF(F154="Barrido","",O154)</f>
        <v>#REF!</v>
      </c>
      <c r="Q154" s="24" t="str">
        <f>IF(F154="Barrido",O154,"")</f>
        <v/>
      </c>
      <c r="R154" s="24">
        <f>IF(I154&lt;&gt;"0",I154,"")</f>
        <v>0</v>
      </c>
      <c r="S154" s="22">
        <f>IF(J154&lt;&gt;"0",J154,"")</f>
        <v>0</v>
      </c>
      <c r="T154" s="23">
        <v>0.3</v>
      </c>
      <c r="U154" s="23">
        <v>-2</v>
      </c>
      <c r="V154" s="23">
        <v>90</v>
      </c>
      <c r="W154" s="23">
        <v>985.4</v>
      </c>
      <c r="X154" s="23">
        <v>21</v>
      </c>
    </row>
    <row r="155" spans="1:24" x14ac:dyDescent="0.2">
      <c r="A155" s="18">
        <v>45856</v>
      </c>
      <c r="B155" s="19" t="e">
        <f>IF(A155="","",VLOOKUP(Planilla!A155,#REF!,2,FALSE))</f>
        <v>#REF!</v>
      </c>
      <c r="C155" s="19" t="e">
        <f>IF(B155="","",VLOOKUP(Planilla!A155,#REF!,3,FALSE))</f>
        <v>#REF!</v>
      </c>
      <c r="D155" s="20" t="s">
        <v>30</v>
      </c>
      <c r="E155" s="21" t="s">
        <v>51</v>
      </c>
      <c r="F155" s="21" t="s">
        <v>52</v>
      </c>
      <c r="G155" s="21" t="s">
        <v>53</v>
      </c>
      <c r="H155" s="21" t="s">
        <v>54</v>
      </c>
      <c r="I155" s="36"/>
      <c r="J155" s="36">
        <v>300</v>
      </c>
      <c r="K155" s="21" t="s">
        <v>59</v>
      </c>
      <c r="L155" s="21" t="s">
        <v>61</v>
      </c>
      <c r="M155" s="24" t="e">
        <f>IF(K155="",0,VLOOKUP(K155,#REF!,2,FALSE))</f>
        <v>#REF!</v>
      </c>
      <c r="N155" s="24" t="e">
        <f>IF(L155="",0,VLOOKUP(L155,#REF!,2,FALSE))</f>
        <v>#REF!</v>
      </c>
      <c r="O155" s="24" t="e">
        <f t="shared" si="7"/>
        <v>#REF!</v>
      </c>
      <c r="P155" s="24" t="e">
        <f>IF(F155="Barrido","",O155)</f>
        <v>#REF!</v>
      </c>
      <c r="Q155" s="24" t="str">
        <f>IF(F155="Barrido",O155,"")</f>
        <v/>
      </c>
      <c r="R155" s="24">
        <f>IF(I155&lt;&gt;"0",I155,"")</f>
        <v>0</v>
      </c>
      <c r="S155" s="22">
        <f>IF(J155&lt;&gt;"0",J155,"")</f>
        <v>300</v>
      </c>
      <c r="T155" s="23">
        <v>0.5</v>
      </c>
      <c r="U155" s="23">
        <v>-1</v>
      </c>
      <c r="V155" s="23">
        <v>87</v>
      </c>
      <c r="W155" s="23">
        <v>984.9</v>
      </c>
      <c r="X155" s="23">
        <v>25</v>
      </c>
    </row>
    <row r="156" spans="1:24" x14ac:dyDescent="0.2">
      <c r="A156" s="18">
        <v>45856</v>
      </c>
      <c r="B156" s="19" t="e">
        <f>IF(A156="","",VLOOKUP(Planilla!A156,#REF!,2,FALSE))</f>
        <v>#REF!</v>
      </c>
      <c r="C156" s="19" t="e">
        <f>IF(B156="","",VLOOKUP(Planilla!A156,#REF!,3,FALSE))</f>
        <v>#REF!</v>
      </c>
      <c r="D156" s="20" t="s">
        <v>30</v>
      </c>
      <c r="E156" s="21" t="s">
        <v>51</v>
      </c>
      <c r="F156" s="21" t="s">
        <v>39</v>
      </c>
      <c r="G156" s="21" t="s">
        <v>40</v>
      </c>
      <c r="H156" s="21" t="s">
        <v>41</v>
      </c>
      <c r="I156" s="36"/>
      <c r="J156" s="36"/>
      <c r="K156" s="21" t="s">
        <v>42</v>
      </c>
      <c r="L156" s="21"/>
      <c r="M156" s="24" t="e">
        <f>IF(K156="",0,VLOOKUP(K156,#REF!,2,FALSE))</f>
        <v>#REF!</v>
      </c>
      <c r="N156" s="24">
        <f>IF(L156="",0,VLOOKUP(L156,#REF!,2,FALSE))</f>
        <v>0</v>
      </c>
      <c r="O156" s="24" t="e">
        <f t="shared" si="7"/>
        <v>#REF!</v>
      </c>
      <c r="P156" s="24" t="e">
        <f>IF(F156="Barrido","",O156)</f>
        <v>#REF!</v>
      </c>
      <c r="Q156" s="24" t="str">
        <f>IF(F156="Barrido",O156,"")</f>
        <v/>
      </c>
      <c r="R156" s="24">
        <f>IF(I156&lt;&gt;"0",I156,"")</f>
        <v>0</v>
      </c>
      <c r="S156" s="22">
        <f>IF(J156&lt;&gt;"0",J156,"")</f>
        <v>0</v>
      </c>
      <c r="T156" s="23">
        <v>-0.4</v>
      </c>
      <c r="U156" s="23">
        <v>-1</v>
      </c>
      <c r="V156" s="23">
        <v>87</v>
      </c>
      <c r="W156" s="23">
        <v>984.6</v>
      </c>
      <c r="X156" s="23">
        <v>30</v>
      </c>
    </row>
    <row r="157" spans="1:24" x14ac:dyDescent="0.2">
      <c r="A157" s="18">
        <v>45856</v>
      </c>
      <c r="B157" s="19" t="e">
        <f>IF(A157="","",VLOOKUP(Planilla!A157,#REF!,2,FALSE))</f>
        <v>#REF!</v>
      </c>
      <c r="C157" s="19" t="e">
        <f>IF(B157="","",VLOOKUP(Planilla!A157,#REF!,3,FALSE))</f>
        <v>#REF!</v>
      </c>
      <c r="D157" s="20" t="s">
        <v>30</v>
      </c>
      <c r="E157" s="21" t="s">
        <v>43</v>
      </c>
      <c r="F157" s="21" t="s">
        <v>39</v>
      </c>
      <c r="G157" s="21" t="s">
        <v>40</v>
      </c>
      <c r="H157" s="21" t="s">
        <v>41</v>
      </c>
      <c r="I157" s="36"/>
      <c r="J157" s="36"/>
      <c r="K157" s="21" t="s">
        <v>42</v>
      </c>
      <c r="L157" s="21"/>
      <c r="M157" s="24" t="e">
        <f>IF(K157="",0,VLOOKUP(K157,#REF!,2,FALSE))</f>
        <v>#REF!</v>
      </c>
      <c r="N157" s="24">
        <f>IF(L157="",0,VLOOKUP(L157,#REF!,2,FALSE))</f>
        <v>0</v>
      </c>
      <c r="O157" s="24" t="e">
        <f t="shared" si="7"/>
        <v>#REF!</v>
      </c>
      <c r="P157" s="24" t="e">
        <f>IF(F157="Barrido","",O157)</f>
        <v>#REF!</v>
      </c>
      <c r="Q157" s="24" t="str">
        <f>IF(F157="Barrido",O157,"")</f>
        <v/>
      </c>
      <c r="R157" s="24">
        <f>IF(I157&lt;&gt;"0",I157,"")</f>
        <v>0</v>
      </c>
      <c r="S157" s="22">
        <f>IF(J157&lt;&gt;"0",J157,"")</f>
        <v>0</v>
      </c>
      <c r="T157" s="23">
        <v>1</v>
      </c>
      <c r="U157" s="23">
        <v>-1</v>
      </c>
      <c r="V157" s="23">
        <v>93</v>
      </c>
      <c r="W157" s="23">
        <v>986</v>
      </c>
      <c r="X157" s="23">
        <v>16</v>
      </c>
    </row>
    <row r="158" spans="1:24" x14ac:dyDescent="0.2">
      <c r="A158" s="18">
        <v>45856</v>
      </c>
      <c r="B158" s="19" t="e">
        <f>IF(A158="","",VLOOKUP(Planilla!A158,#REF!,2,FALSE))</f>
        <v>#REF!</v>
      </c>
      <c r="C158" s="19" t="e">
        <f>IF(B158="","",VLOOKUP(Planilla!A158,#REF!,3,FALSE))</f>
        <v>#REF!</v>
      </c>
      <c r="D158" s="20" t="s">
        <v>30</v>
      </c>
      <c r="E158" s="21" t="s">
        <v>43</v>
      </c>
      <c r="F158" s="21" t="s">
        <v>32</v>
      </c>
      <c r="G158" s="21" t="s">
        <v>65</v>
      </c>
      <c r="H158" s="21" t="s">
        <v>34</v>
      </c>
      <c r="I158" s="36">
        <v>325</v>
      </c>
      <c r="J158" s="36"/>
      <c r="K158" s="21" t="s">
        <v>42</v>
      </c>
      <c r="L158" s="21"/>
      <c r="M158" s="24" t="e">
        <f>IF(K158="",0,VLOOKUP(K158,#REF!,2,FALSE))</f>
        <v>#REF!</v>
      </c>
      <c r="N158" s="24">
        <f>IF(L158="",0,VLOOKUP(L158,#REF!,2,FALSE))</f>
        <v>0</v>
      </c>
      <c r="O158" s="24" t="e">
        <f t="shared" si="7"/>
        <v>#REF!</v>
      </c>
      <c r="P158" s="24" t="e">
        <f>IF(F158="Barrido","",O158)</f>
        <v>#REF!</v>
      </c>
      <c r="Q158" s="24" t="str">
        <f>IF(F158="Barrido",O158,"")</f>
        <v/>
      </c>
      <c r="R158" s="24">
        <f>IF(I158&lt;&gt;"0",I158,"")</f>
        <v>325</v>
      </c>
      <c r="S158" s="22">
        <f>IF(J158&lt;&gt;"0",J158,"")</f>
        <v>0</v>
      </c>
      <c r="T158" s="23">
        <v>2</v>
      </c>
      <c r="U158" s="23">
        <v>0</v>
      </c>
      <c r="V158" s="23">
        <v>94</v>
      </c>
      <c r="W158" s="23">
        <v>983</v>
      </c>
      <c r="X158" s="23">
        <v>2</v>
      </c>
    </row>
    <row r="159" spans="1:24" x14ac:dyDescent="0.2">
      <c r="A159" s="18">
        <v>45856</v>
      </c>
      <c r="B159" s="19" t="e">
        <f>IF(A159="","",VLOOKUP(Planilla!A159,#REF!,2,FALSE))</f>
        <v>#REF!</v>
      </c>
      <c r="C159" s="19" t="e">
        <f>IF(B159="","",VLOOKUP(Planilla!A159,#REF!,3,FALSE))</f>
        <v>#REF!</v>
      </c>
      <c r="D159" s="20" t="s">
        <v>30</v>
      </c>
      <c r="E159" s="21" t="s">
        <v>51</v>
      </c>
      <c r="F159" s="21" t="s">
        <v>39</v>
      </c>
      <c r="G159" s="21" t="s">
        <v>40</v>
      </c>
      <c r="H159" s="21" t="s">
        <v>41</v>
      </c>
      <c r="I159" s="36"/>
      <c r="J159" s="36"/>
      <c r="K159" s="21" t="s">
        <v>42</v>
      </c>
      <c r="L159" s="21"/>
      <c r="M159" s="24" t="e">
        <f>IF(K159="",0,VLOOKUP(K159,#REF!,2,FALSE))</f>
        <v>#REF!</v>
      </c>
      <c r="N159" s="24">
        <f>IF(L159="",0,VLOOKUP(L159,#REF!,2,FALSE))</f>
        <v>0</v>
      </c>
      <c r="O159" s="24" t="e">
        <f t="shared" si="7"/>
        <v>#REF!</v>
      </c>
      <c r="P159" s="24" t="e">
        <f>IF(F159="Barrido","",O159)</f>
        <v>#REF!</v>
      </c>
      <c r="Q159" s="24" t="str">
        <f>IF(F159="Barrido",O159,"")</f>
        <v/>
      </c>
      <c r="R159" s="24">
        <f>IF(I159&lt;&gt;"0",I159,"")</f>
        <v>0</v>
      </c>
      <c r="S159" s="22">
        <f>IF(J159&lt;&gt;"0",J159,"")</f>
        <v>0</v>
      </c>
      <c r="T159" s="23">
        <v>2</v>
      </c>
      <c r="U159" s="23">
        <v>0</v>
      </c>
      <c r="V159" s="23">
        <v>87</v>
      </c>
      <c r="W159" s="23">
        <v>983</v>
      </c>
      <c r="X159" s="23">
        <v>7</v>
      </c>
    </row>
    <row r="160" spans="1:24" x14ac:dyDescent="0.2">
      <c r="A160" s="18">
        <v>45856</v>
      </c>
      <c r="B160" s="19" t="e">
        <f>IF(A160="","",VLOOKUP(Planilla!A160,#REF!,2,FALSE))</f>
        <v>#REF!</v>
      </c>
      <c r="C160" s="19" t="e">
        <f>IF(B160="","",VLOOKUP(Planilla!A160,#REF!,3,FALSE))</f>
        <v>#REF!</v>
      </c>
      <c r="D160" s="20" t="s">
        <v>30</v>
      </c>
      <c r="E160" s="21" t="s">
        <v>51</v>
      </c>
      <c r="F160" s="21" t="s">
        <v>39</v>
      </c>
      <c r="G160" s="21" t="s">
        <v>40</v>
      </c>
      <c r="H160" s="21" t="s">
        <v>41</v>
      </c>
      <c r="I160" s="36"/>
      <c r="J160" s="36"/>
      <c r="K160" s="21" t="s">
        <v>42</v>
      </c>
      <c r="L160" s="21"/>
      <c r="M160" s="24" t="e">
        <f>IF(K160="",0,VLOOKUP(K160,#REF!,2,FALSE))</f>
        <v>#REF!</v>
      </c>
      <c r="N160" s="24">
        <f>IF(L160="",0,VLOOKUP(L160,#REF!,2,FALSE))</f>
        <v>0</v>
      </c>
      <c r="O160" s="24" t="e">
        <f t="shared" si="7"/>
        <v>#REF!</v>
      </c>
      <c r="P160" s="24" t="e">
        <f>IF(F160="Barrido","",O160)</f>
        <v>#REF!</v>
      </c>
      <c r="Q160" s="24" t="str">
        <f>IF(F160="Barrido",O160,"")</f>
        <v/>
      </c>
      <c r="R160" s="24">
        <f>IF(I160&lt;&gt;"0",I160,"")</f>
        <v>0</v>
      </c>
      <c r="S160" s="22">
        <f>IF(J160&lt;&gt;"0",J160,"")</f>
        <v>0</v>
      </c>
      <c r="T160" s="23">
        <v>1.1000000000000001</v>
      </c>
      <c r="U160" s="23">
        <v>0</v>
      </c>
      <c r="V160" s="23">
        <v>93</v>
      </c>
      <c r="W160" s="23">
        <v>981</v>
      </c>
      <c r="X160" s="23">
        <v>21</v>
      </c>
    </row>
    <row r="161" spans="1:24" x14ac:dyDescent="0.2">
      <c r="A161" s="18">
        <v>45857</v>
      </c>
      <c r="B161" s="19" t="e">
        <f>IF(A161="","",VLOOKUP(Planilla!A161,#REF!,2,FALSE))</f>
        <v>#REF!</v>
      </c>
      <c r="C161" s="19" t="e">
        <f>IF(B161="","",VLOOKUP(Planilla!A161,#REF!,3,FALSE))</f>
        <v>#REF!</v>
      </c>
      <c r="D161" s="20" t="s">
        <v>30</v>
      </c>
      <c r="E161" s="21" t="s">
        <v>51</v>
      </c>
      <c r="F161" s="21" t="s">
        <v>39</v>
      </c>
      <c r="G161" s="21" t="s">
        <v>40</v>
      </c>
      <c r="H161" s="21" t="s">
        <v>41</v>
      </c>
      <c r="I161" s="36"/>
      <c r="J161" s="36"/>
      <c r="K161" s="21" t="s">
        <v>42</v>
      </c>
      <c r="L161" s="21"/>
      <c r="M161" s="24" t="e">
        <f>IF(K161="",0,VLOOKUP(K161,#REF!,2,FALSE))</f>
        <v>#REF!</v>
      </c>
      <c r="N161" s="24">
        <f>IF(L161="",0,VLOOKUP(L161,#REF!,2,FALSE))</f>
        <v>0</v>
      </c>
      <c r="O161" s="24" t="e">
        <f t="shared" si="7"/>
        <v>#REF!</v>
      </c>
      <c r="P161" s="24" t="e">
        <f>IF(F161="Barrido","",O161)</f>
        <v>#REF!</v>
      </c>
      <c r="Q161" s="24" t="str">
        <f>IF(F161="Barrido",O161,"")</f>
        <v/>
      </c>
      <c r="R161" s="24">
        <f>IF(I161&lt;&gt;"0",I161,"")</f>
        <v>0</v>
      </c>
      <c r="S161" s="22">
        <f>IF(J161&lt;&gt;"0",J161,"")</f>
        <v>0</v>
      </c>
      <c r="T161" s="23">
        <v>1.3</v>
      </c>
      <c r="U161" s="23">
        <v>0</v>
      </c>
      <c r="V161" s="23">
        <v>90</v>
      </c>
      <c r="W161" s="23">
        <v>981.3</v>
      </c>
      <c r="X161" s="23">
        <v>23</v>
      </c>
    </row>
    <row r="162" spans="1:24" x14ac:dyDescent="0.2">
      <c r="A162" s="18">
        <v>45857</v>
      </c>
      <c r="B162" s="19" t="e">
        <f>IF(A162="","",VLOOKUP(Planilla!A162,#REF!,2,FALSE))</f>
        <v>#REF!</v>
      </c>
      <c r="C162" s="19" t="e">
        <f>IF(B162="","",VLOOKUP(Planilla!A162,#REF!,3,FALSE))</f>
        <v>#REF!</v>
      </c>
      <c r="D162" s="20" t="s">
        <v>30</v>
      </c>
      <c r="E162" s="21" t="s">
        <v>51</v>
      </c>
      <c r="F162" s="21" t="s">
        <v>39</v>
      </c>
      <c r="G162" s="21" t="s">
        <v>40</v>
      </c>
      <c r="H162" s="21" t="s">
        <v>41</v>
      </c>
      <c r="I162" s="36"/>
      <c r="J162" s="36"/>
      <c r="K162" s="21" t="s">
        <v>42</v>
      </c>
      <c r="L162" s="21"/>
      <c r="M162" s="24" t="e">
        <f>IF(K162="",0,VLOOKUP(K162,#REF!,2,FALSE))</f>
        <v>#REF!</v>
      </c>
      <c r="N162" s="24">
        <f>IF(L162="",0,VLOOKUP(L162,#REF!,2,FALSE))</f>
        <v>0</v>
      </c>
      <c r="O162" s="24" t="e">
        <f t="shared" si="7"/>
        <v>#REF!</v>
      </c>
      <c r="P162" s="24" t="e">
        <f>IF(F162="Barrido","",O162)</f>
        <v>#REF!</v>
      </c>
      <c r="Q162" s="24" t="str">
        <f>IF(F162="Barrido",O162,"")</f>
        <v/>
      </c>
      <c r="R162" s="24">
        <f>IF(I162&lt;&gt;"0",I162,"")</f>
        <v>0</v>
      </c>
      <c r="S162" s="22">
        <f>IF(J162&lt;&gt;"0",J162,"")</f>
        <v>0</v>
      </c>
      <c r="T162" s="23">
        <v>1.6</v>
      </c>
      <c r="U162" s="23">
        <v>0</v>
      </c>
      <c r="V162" s="23">
        <v>81</v>
      </c>
      <c r="W162" s="23">
        <v>981.7</v>
      </c>
      <c r="X162" s="23">
        <v>36</v>
      </c>
    </row>
    <row r="163" spans="1:24" x14ac:dyDescent="0.2">
      <c r="A163" s="18">
        <v>45857</v>
      </c>
      <c r="B163" s="19" t="e">
        <f>IF(A163="","",VLOOKUP(Planilla!A163,#REF!,2,FALSE))</f>
        <v>#REF!</v>
      </c>
      <c r="C163" s="19" t="e">
        <f>IF(B163="","",VLOOKUP(Planilla!A163,#REF!,3,FALSE))</f>
        <v>#REF!</v>
      </c>
      <c r="D163" s="20" t="s">
        <v>30</v>
      </c>
      <c r="E163" s="21" t="s">
        <v>51</v>
      </c>
      <c r="F163" s="21" t="s">
        <v>39</v>
      </c>
      <c r="G163" s="21" t="s">
        <v>40</v>
      </c>
      <c r="H163" s="21" t="s">
        <v>41</v>
      </c>
      <c r="I163" s="36"/>
      <c r="J163" s="36"/>
      <c r="K163" s="21" t="s">
        <v>42</v>
      </c>
      <c r="L163" s="21"/>
      <c r="M163" s="24" t="e">
        <f>IF(K163="",0,VLOOKUP(K163,#REF!,2,FALSE))</f>
        <v>#REF!</v>
      </c>
      <c r="N163" s="24">
        <f>IF(L163="",0,VLOOKUP(L163,#REF!,2,FALSE))</f>
        <v>0</v>
      </c>
      <c r="O163" s="24" t="e">
        <f t="shared" si="7"/>
        <v>#REF!</v>
      </c>
      <c r="P163" s="24" t="e">
        <f>IF(F163="Barrido","",O163)</f>
        <v>#REF!</v>
      </c>
      <c r="Q163" s="24" t="str">
        <f>IF(F163="Barrido",O163,"")</f>
        <v/>
      </c>
      <c r="R163" s="24">
        <f>IF(I163&lt;&gt;"0",I163,"")</f>
        <v>0</v>
      </c>
      <c r="S163" s="22">
        <f>IF(J163&lt;&gt;"0",J163,"")</f>
        <v>0</v>
      </c>
      <c r="T163" s="23">
        <v>-0.7</v>
      </c>
      <c r="U163" s="23">
        <v>0</v>
      </c>
      <c r="V163" s="23">
        <v>84</v>
      </c>
      <c r="W163" s="23">
        <v>984.2</v>
      </c>
      <c r="X163" s="23">
        <v>21</v>
      </c>
    </row>
    <row r="164" spans="1:24" x14ac:dyDescent="0.2">
      <c r="A164" s="18">
        <v>45861</v>
      </c>
      <c r="B164" s="19" t="e">
        <f>IF(A164="","",VLOOKUP(Planilla!A164,#REF!,2,FALSE))</f>
        <v>#REF!</v>
      </c>
      <c r="C164" s="19" t="e">
        <f>IF(B164="","",VLOOKUP(Planilla!A164,#REF!,3,FALSE))</f>
        <v>#REF!</v>
      </c>
      <c r="D164" s="20" t="s">
        <v>30</v>
      </c>
      <c r="E164" s="21" t="s">
        <v>51</v>
      </c>
      <c r="F164" s="21" t="s">
        <v>39</v>
      </c>
      <c r="G164" s="21" t="s">
        <v>40</v>
      </c>
      <c r="H164" s="21" t="s">
        <v>41</v>
      </c>
      <c r="I164" s="36"/>
      <c r="J164" s="36"/>
      <c r="K164" s="21" t="s">
        <v>42</v>
      </c>
      <c r="L164" s="21"/>
      <c r="M164" s="24" t="e">
        <f>IF(K164="",0,VLOOKUP(K164,#REF!,2,FALSE))</f>
        <v>#REF!</v>
      </c>
      <c r="N164" s="24">
        <f>IF(L164="",0,VLOOKUP(L164,#REF!,2,FALSE))</f>
        <v>0</v>
      </c>
      <c r="O164" s="24" t="e">
        <f t="shared" si="7"/>
        <v>#REF!</v>
      </c>
      <c r="P164" s="24" t="e">
        <f>IF(F164="Barrido","",O164)</f>
        <v>#REF!</v>
      </c>
      <c r="Q164" s="24" t="str">
        <f>IF(F164="Barrido",O164,"")</f>
        <v/>
      </c>
      <c r="R164" s="24">
        <f>IF(I164&lt;&gt;"0",I164,"")</f>
        <v>0</v>
      </c>
      <c r="S164" s="22">
        <f>IF(J164&lt;&gt;"0",J164,"")</f>
        <v>0</v>
      </c>
      <c r="T164" s="23">
        <v>0.1</v>
      </c>
      <c r="U164" s="23">
        <v>0.1</v>
      </c>
      <c r="V164" s="23">
        <v>90</v>
      </c>
      <c r="W164" s="23">
        <v>1012</v>
      </c>
      <c r="X164" s="23">
        <v>19.8</v>
      </c>
    </row>
    <row r="165" spans="1:24" x14ac:dyDescent="0.2">
      <c r="A165" s="18">
        <v>45866</v>
      </c>
      <c r="B165" s="19" t="e">
        <f>IF(A165="","",VLOOKUP(Planilla!A165,#REF!,2,FALSE))</f>
        <v>#REF!</v>
      </c>
      <c r="C165" s="19" t="e">
        <f>IF(B165="","",VLOOKUP(Planilla!A165,#REF!,3,FALSE))</f>
        <v>#REF!</v>
      </c>
      <c r="D165" s="20" t="s">
        <v>30</v>
      </c>
      <c r="E165" s="21" t="s">
        <v>60</v>
      </c>
      <c r="F165" s="21" t="s">
        <v>47</v>
      </c>
      <c r="G165" s="21" t="s">
        <v>48</v>
      </c>
      <c r="H165" s="21" t="s">
        <v>49</v>
      </c>
      <c r="I165" s="36"/>
      <c r="J165" s="36"/>
      <c r="K165" s="21" t="s">
        <v>50</v>
      </c>
      <c r="L165" s="21"/>
      <c r="M165" s="24" t="e">
        <f>IF(K165="",0,VLOOKUP(K165,#REF!,2,FALSE))</f>
        <v>#REF!</v>
      </c>
      <c r="N165" s="24">
        <f>IF(L165="",0,VLOOKUP(L165,#REF!,2,FALSE))</f>
        <v>0</v>
      </c>
      <c r="O165" s="24" t="e">
        <f t="shared" si="7"/>
        <v>#REF!</v>
      </c>
      <c r="P165" s="24" t="str">
        <f>IF(F165="Barrido","",O165)</f>
        <v/>
      </c>
      <c r="Q165" s="24" t="e">
        <f>IF(F165="Barrido",O165,"")</f>
        <v>#REF!</v>
      </c>
      <c r="R165" s="24">
        <f>IF(I165&lt;&gt;"0",I165,"")</f>
        <v>0</v>
      </c>
      <c r="S165" s="22">
        <f>IF(J165&lt;&gt;"0",J165,"")</f>
        <v>0</v>
      </c>
      <c r="T165" s="23">
        <v>1.6</v>
      </c>
      <c r="U165" s="23">
        <v>2</v>
      </c>
      <c r="V165" s="23">
        <v>95</v>
      </c>
      <c r="W165" s="23">
        <v>1007</v>
      </c>
      <c r="X165" s="23">
        <v>12</v>
      </c>
    </row>
    <row r="166" spans="1:24" x14ac:dyDescent="0.2">
      <c r="A166" s="18">
        <v>45867</v>
      </c>
      <c r="B166" s="19" t="e">
        <f>IF(A166="","",VLOOKUP(Planilla!A166,#REF!,2,FALSE))</f>
        <v>#REF!</v>
      </c>
      <c r="C166" s="19" t="e">
        <f>IF(B166="","",VLOOKUP(Planilla!A166,#REF!,3,FALSE))</f>
        <v>#REF!</v>
      </c>
      <c r="D166" s="20" t="s">
        <v>30</v>
      </c>
      <c r="E166" s="21" t="s">
        <v>60</v>
      </c>
      <c r="F166" s="21" t="s">
        <v>32</v>
      </c>
      <c r="G166" s="21" t="s">
        <v>65</v>
      </c>
      <c r="H166" s="21" t="s">
        <v>34</v>
      </c>
      <c r="I166" s="36">
        <v>300</v>
      </c>
      <c r="J166" s="36"/>
      <c r="K166" s="21" t="s">
        <v>50</v>
      </c>
      <c r="L166" s="21"/>
      <c r="M166" s="24" t="e">
        <f>IF(K166="",0,VLOOKUP(K166,#REF!,2,FALSE))</f>
        <v>#REF!</v>
      </c>
      <c r="N166" s="24">
        <f>IF(L166="",0,VLOOKUP(L166,#REF!,2,FALSE))</f>
        <v>0</v>
      </c>
      <c r="O166" s="24" t="e">
        <f t="shared" si="7"/>
        <v>#REF!</v>
      </c>
      <c r="P166" s="24" t="e">
        <f>IF(F166="Barrido","",O166)</f>
        <v>#REF!</v>
      </c>
      <c r="Q166" s="24" t="str">
        <f>IF(F166="Barrido",O166,"")</f>
        <v/>
      </c>
      <c r="R166" s="24">
        <f>IF(I166&lt;&gt;"0",I166,"")</f>
        <v>300</v>
      </c>
      <c r="S166" s="22">
        <f>IF(J166&lt;&gt;"0",J166,"")</f>
        <v>0</v>
      </c>
      <c r="T166" s="23">
        <v>1.1000000000000001</v>
      </c>
      <c r="U166" s="23">
        <v>1</v>
      </c>
      <c r="V166" s="23">
        <v>95</v>
      </c>
      <c r="W166" s="23">
        <v>1006.4</v>
      </c>
      <c r="X166" s="23">
        <v>2</v>
      </c>
    </row>
    <row r="167" spans="1:24" x14ac:dyDescent="0.2">
      <c r="A167" s="18">
        <v>45867</v>
      </c>
      <c r="B167" s="19" t="e">
        <f>IF(A167="","",VLOOKUP(Planilla!A167,#REF!,2,FALSE))</f>
        <v>#REF!</v>
      </c>
      <c r="C167" s="19" t="e">
        <f>IF(B167="","",VLOOKUP(Planilla!A167,#REF!,3,FALSE))</f>
        <v>#REF!</v>
      </c>
      <c r="D167" s="20" t="s">
        <v>30</v>
      </c>
      <c r="E167" s="21" t="s">
        <v>43</v>
      </c>
      <c r="F167" s="21" t="s">
        <v>47</v>
      </c>
      <c r="G167" s="21" t="s">
        <v>48</v>
      </c>
      <c r="H167" s="21" t="s">
        <v>49</v>
      </c>
      <c r="I167" s="36"/>
      <c r="J167" s="36"/>
      <c r="K167" s="21" t="s">
        <v>50</v>
      </c>
      <c r="L167" s="21"/>
      <c r="M167" s="24" t="e">
        <f>IF(K167="",0,VLOOKUP(K167,#REF!,2,FALSE))</f>
        <v>#REF!</v>
      </c>
      <c r="N167" s="24">
        <f>IF(L167="",0,VLOOKUP(L167,#REF!,2,FALSE))</f>
        <v>0</v>
      </c>
      <c r="O167" s="24" t="e">
        <f t="shared" si="7"/>
        <v>#REF!</v>
      </c>
      <c r="P167" s="24" t="str">
        <f>IF(F167="Barrido","",O167)</f>
        <v/>
      </c>
      <c r="Q167" s="24" t="e">
        <f>IF(F167="Barrido",O167,"")</f>
        <v>#REF!</v>
      </c>
      <c r="R167" s="24">
        <f>IF(I167&lt;&gt;"0",I167,"")</f>
        <v>0</v>
      </c>
      <c r="S167" s="22">
        <f>IF(J167&lt;&gt;"0",J167,"")</f>
        <v>0</v>
      </c>
      <c r="T167" s="23">
        <v>1</v>
      </c>
      <c r="U167" s="23">
        <v>1</v>
      </c>
      <c r="V167" s="23">
        <v>98</v>
      </c>
      <c r="W167" s="23">
        <v>1002</v>
      </c>
      <c r="X167" s="23">
        <v>5</v>
      </c>
    </row>
    <row r="168" spans="1:24" x14ac:dyDescent="0.2">
      <c r="A168" s="18">
        <v>45869</v>
      </c>
      <c r="B168" s="19" t="e">
        <f>IF(A168="","",VLOOKUP(Planilla!A168,#REF!,2,FALSE))</f>
        <v>#REF!</v>
      </c>
      <c r="C168" s="19" t="e">
        <f>IF(B168="","",VLOOKUP(Planilla!A168,#REF!,3,FALSE))</f>
        <v>#REF!</v>
      </c>
      <c r="D168" s="20" t="s">
        <v>55</v>
      </c>
      <c r="E168" s="21" t="s">
        <v>43</v>
      </c>
      <c r="F168" s="21" t="s">
        <v>47</v>
      </c>
      <c r="G168" s="21" t="s">
        <v>48</v>
      </c>
      <c r="H168" s="21" t="s">
        <v>49</v>
      </c>
      <c r="I168" s="36"/>
      <c r="J168" s="36"/>
      <c r="K168" s="21" t="s">
        <v>71</v>
      </c>
      <c r="L168" s="21"/>
      <c r="M168" s="24" t="e">
        <f>IF(K168="",0,VLOOKUP(K168,#REF!,2,FALSE))</f>
        <v>#REF!</v>
      </c>
      <c r="N168" s="24">
        <f>IF(L168="",0,VLOOKUP(L168,#REF!,2,FALSE))</f>
        <v>0</v>
      </c>
      <c r="O168" s="24" t="e">
        <f t="shared" si="7"/>
        <v>#REF!</v>
      </c>
      <c r="P168" s="24" t="str">
        <f>IF(F168="Barrido","",O168)</f>
        <v/>
      </c>
      <c r="Q168" s="24" t="e">
        <f>IF(F168="Barrido",O168,"")</f>
        <v>#REF!</v>
      </c>
      <c r="R168" s="24">
        <f>IF(I168&lt;&gt;"0",I168,"")</f>
        <v>0</v>
      </c>
      <c r="S168" s="22">
        <f>IF(J168&lt;&gt;"0",J168,"")</f>
        <v>0</v>
      </c>
      <c r="T168" s="23">
        <v>5</v>
      </c>
      <c r="U168" s="23">
        <v>4</v>
      </c>
      <c r="V168" s="23">
        <v>98</v>
      </c>
      <c r="W168" s="23">
        <v>1006</v>
      </c>
      <c r="X168" s="23">
        <v>19</v>
      </c>
    </row>
    <row r="169" spans="1:24" x14ac:dyDescent="0.2">
      <c r="A169" s="18">
        <v>45870</v>
      </c>
      <c r="B169" s="19" t="e">
        <f>IF(A169="","",VLOOKUP(Planilla!A169,#REF!,2,FALSE))</f>
        <v>#REF!</v>
      </c>
      <c r="C169" s="19" t="e">
        <f>IF(B169="","",VLOOKUP(Planilla!A169,#REF!,3,FALSE))</f>
        <v>#REF!</v>
      </c>
      <c r="D169" s="20" t="s">
        <v>30</v>
      </c>
      <c r="E169" s="21" t="s">
        <v>43</v>
      </c>
      <c r="F169" s="21" t="s">
        <v>47</v>
      </c>
      <c r="G169" s="21" t="s">
        <v>48</v>
      </c>
      <c r="H169" s="21" t="s">
        <v>49</v>
      </c>
      <c r="I169" s="36"/>
      <c r="J169" s="36"/>
      <c r="K169" s="21" t="s">
        <v>50</v>
      </c>
      <c r="L169" s="21"/>
      <c r="M169" s="24" t="e">
        <f>IF(K169="",0,VLOOKUP(K169,#REF!,2,FALSE))</f>
        <v>#REF!</v>
      </c>
      <c r="N169" s="24">
        <f>IF(L169="",0,VLOOKUP(L169,#REF!,2,FALSE))</f>
        <v>0</v>
      </c>
      <c r="O169" s="24" t="e">
        <f t="shared" si="7"/>
        <v>#REF!</v>
      </c>
      <c r="P169" s="24" t="str">
        <f>IF(F169="Barrido","",O169)</f>
        <v/>
      </c>
      <c r="Q169" s="24" t="e">
        <f>IF(F169="Barrido",O169,"")</f>
        <v>#REF!</v>
      </c>
      <c r="R169" s="24">
        <f>IF(I169&lt;&gt;"0",I169,"")</f>
        <v>0</v>
      </c>
      <c r="S169" s="22">
        <f>IF(J169&lt;&gt;"0",J169,"")</f>
        <v>0</v>
      </c>
      <c r="T169" s="23">
        <v>0.5</v>
      </c>
      <c r="U169" s="23">
        <v>2</v>
      </c>
      <c r="V169" s="23">
        <v>99</v>
      </c>
      <c r="W169" s="23">
        <v>1020</v>
      </c>
      <c r="X169" s="23">
        <v>5.4</v>
      </c>
    </row>
    <row r="170" spans="1:24" x14ac:dyDescent="0.2">
      <c r="A170" s="18">
        <v>45870</v>
      </c>
      <c r="B170" s="19" t="e">
        <f>IF(A170="","",VLOOKUP(Planilla!A170,#REF!,2,FALSE))</f>
        <v>#REF!</v>
      </c>
      <c r="C170" s="19" t="e">
        <f>IF(B170="","",VLOOKUP(Planilla!A170,#REF!,3,FALSE))</f>
        <v>#REF!</v>
      </c>
      <c r="D170" s="20" t="s">
        <v>30</v>
      </c>
      <c r="E170" s="21" t="s">
        <v>43</v>
      </c>
      <c r="F170" s="21" t="s">
        <v>32</v>
      </c>
      <c r="G170" s="21" t="s">
        <v>65</v>
      </c>
      <c r="H170" s="21" t="s">
        <v>34</v>
      </c>
      <c r="I170" s="36">
        <v>1050</v>
      </c>
      <c r="J170" s="36"/>
      <c r="K170" s="21" t="s">
        <v>35</v>
      </c>
      <c r="L170" s="21" t="s">
        <v>59</v>
      </c>
      <c r="M170" s="24" t="e">
        <f>IF(K170="",0,VLOOKUP(K170,#REF!,2,FALSE))</f>
        <v>#REF!</v>
      </c>
      <c r="N170" s="24" t="e">
        <f>IF(L170="",0,VLOOKUP(L170,#REF!,2,FALSE))</f>
        <v>#REF!</v>
      </c>
      <c r="O170" s="24" t="e">
        <f t="shared" si="7"/>
        <v>#REF!</v>
      </c>
      <c r="P170" s="24" t="e">
        <f>IF(F170="Barrido","",O170)</f>
        <v>#REF!</v>
      </c>
      <c r="Q170" s="24" t="str">
        <f>IF(F170="Barrido",O170,"")</f>
        <v/>
      </c>
      <c r="R170" s="24">
        <f>IF(I170&lt;&gt;"0",I170,"")</f>
        <v>1050</v>
      </c>
      <c r="S170" s="22">
        <f>IF(J170&lt;&gt;"0",J170,"")</f>
        <v>0</v>
      </c>
      <c r="T170" s="23">
        <v>0.5</v>
      </c>
      <c r="U170" s="23">
        <v>2</v>
      </c>
      <c r="V170" s="23">
        <v>99</v>
      </c>
      <c r="W170" s="23">
        <v>1020</v>
      </c>
      <c r="X170" s="23">
        <v>5.4</v>
      </c>
    </row>
    <row r="171" spans="1:24" x14ac:dyDescent="0.2">
      <c r="A171" s="18">
        <v>45871</v>
      </c>
      <c r="B171" s="19" t="e">
        <f>IF(A171="","",VLOOKUP(Planilla!A171,#REF!,2,FALSE))</f>
        <v>#REF!</v>
      </c>
      <c r="C171" s="19" t="e">
        <f>IF(B171="","",VLOOKUP(Planilla!A171,#REF!,3,FALSE))</f>
        <v>#REF!</v>
      </c>
      <c r="D171" s="20" t="s">
        <v>30</v>
      </c>
      <c r="E171" s="21" t="s">
        <v>43</v>
      </c>
      <c r="F171" s="21" t="s">
        <v>47</v>
      </c>
      <c r="G171" s="21" t="s">
        <v>48</v>
      </c>
      <c r="H171" s="21" t="s">
        <v>49</v>
      </c>
      <c r="I171" s="36"/>
      <c r="J171" s="36"/>
      <c r="K171" s="21" t="s">
        <v>50</v>
      </c>
      <c r="L171" s="21"/>
      <c r="M171" s="24" t="e">
        <f>IF(K171="",0,VLOOKUP(K171,#REF!,2,FALSE))</f>
        <v>#REF!</v>
      </c>
      <c r="N171" s="24">
        <f>IF(L171="",0,VLOOKUP(L171,#REF!,2,FALSE))</f>
        <v>0</v>
      </c>
      <c r="O171" s="24" t="e">
        <f t="shared" si="7"/>
        <v>#REF!</v>
      </c>
      <c r="P171" s="24" t="str">
        <f>IF(F171="Barrido","",O171)</f>
        <v/>
      </c>
      <c r="Q171" s="24" t="e">
        <f>IF(F171="Barrido",O171,"")</f>
        <v>#REF!</v>
      </c>
      <c r="R171" s="24">
        <f>IF(I171&lt;&gt;"0",I171,"")</f>
        <v>0</v>
      </c>
      <c r="S171" s="22">
        <f>IF(J171&lt;&gt;"0",J171,"")</f>
        <v>0</v>
      </c>
      <c r="T171" s="23">
        <v>3</v>
      </c>
      <c r="U171" s="23">
        <v>2</v>
      </c>
      <c r="V171" s="23">
        <v>80</v>
      </c>
      <c r="W171" s="23">
        <v>1021.3</v>
      </c>
      <c r="X171" s="23">
        <v>3.6</v>
      </c>
    </row>
    <row r="172" spans="1:24" x14ac:dyDescent="0.2">
      <c r="A172" s="18">
        <v>45871</v>
      </c>
      <c r="B172" s="19" t="e">
        <f>IF(A172="","",VLOOKUP(Planilla!A172,#REF!,2,FALSE))</f>
        <v>#REF!</v>
      </c>
      <c r="C172" s="19" t="e">
        <f>IF(B172="","",VLOOKUP(Planilla!A172,#REF!,3,FALSE))</f>
        <v>#REF!</v>
      </c>
      <c r="D172" s="20" t="s">
        <v>30</v>
      </c>
      <c r="E172" s="21" t="s">
        <v>43</v>
      </c>
      <c r="F172" s="21" t="s">
        <v>32</v>
      </c>
      <c r="G172" s="21" t="s">
        <v>65</v>
      </c>
      <c r="H172" s="21" t="s">
        <v>34</v>
      </c>
      <c r="I172" s="36">
        <v>150</v>
      </c>
      <c r="J172" s="36"/>
      <c r="K172" s="21" t="s">
        <v>50</v>
      </c>
      <c r="L172" s="21"/>
      <c r="M172" s="24" t="e">
        <f>IF(K172="",0,VLOOKUP(K172,#REF!,2,FALSE))</f>
        <v>#REF!</v>
      </c>
      <c r="N172" s="24">
        <f>IF(L172="",0,VLOOKUP(L172,#REF!,2,FALSE))</f>
        <v>0</v>
      </c>
      <c r="O172" s="24" t="e">
        <f t="shared" si="7"/>
        <v>#REF!</v>
      </c>
      <c r="P172" s="24" t="e">
        <f>IF(F172="Barrido","",O172)</f>
        <v>#REF!</v>
      </c>
      <c r="Q172" s="24" t="str">
        <f>IF(F172="Barrido",O172,"")</f>
        <v/>
      </c>
      <c r="R172" s="24">
        <f>IF(I172&lt;&gt;"0",I172,"")</f>
        <v>150</v>
      </c>
      <c r="S172" s="22">
        <f>IF(J172&lt;&gt;"0",J172,"")</f>
        <v>0</v>
      </c>
      <c r="T172" s="23">
        <v>2</v>
      </c>
      <c r="U172" s="23">
        <v>1</v>
      </c>
      <c r="V172" s="23">
        <v>88</v>
      </c>
      <c r="W172" s="23">
        <v>1021.5</v>
      </c>
      <c r="X172" s="23">
        <v>4</v>
      </c>
    </row>
    <row r="173" spans="1:24" x14ac:dyDescent="0.2">
      <c r="A173" s="18">
        <v>45874</v>
      </c>
      <c r="B173" s="19" t="e">
        <f>IF(A173="","",VLOOKUP(Planilla!A173,#REF!,2,FALSE))</f>
        <v>#REF!</v>
      </c>
      <c r="C173" s="19" t="e">
        <f>IF(B173="","",VLOOKUP(Planilla!A173,#REF!,3,FALSE))</f>
        <v>#REF!</v>
      </c>
      <c r="D173" s="20" t="s">
        <v>30</v>
      </c>
      <c r="E173" s="21" t="s">
        <v>31</v>
      </c>
      <c r="F173" s="21" t="s">
        <v>32</v>
      </c>
      <c r="G173" s="21" t="s">
        <v>65</v>
      </c>
      <c r="H173" s="21" t="s">
        <v>34</v>
      </c>
      <c r="I173" s="36">
        <v>750</v>
      </c>
      <c r="J173" s="36"/>
      <c r="K173" s="21" t="s">
        <v>62</v>
      </c>
      <c r="L173" s="21"/>
      <c r="M173" s="24" t="e">
        <f>IF(K173="",0,VLOOKUP(K173,#REF!,2,FALSE))</f>
        <v>#REF!</v>
      </c>
      <c r="N173" s="24">
        <f>IF(L173="",0,VLOOKUP(L173,#REF!,2,FALSE))</f>
        <v>0</v>
      </c>
      <c r="O173" s="24" t="e">
        <f t="shared" si="7"/>
        <v>#REF!</v>
      </c>
      <c r="P173" s="24" t="e">
        <f>IF(F173="Barrido","",O173)</f>
        <v>#REF!</v>
      </c>
      <c r="Q173" s="24" t="str">
        <f>IF(F173="Barrido",O173,"")</f>
        <v/>
      </c>
      <c r="R173" s="24">
        <f>IF(I173&lt;&gt;"0",I173,"")</f>
        <v>750</v>
      </c>
      <c r="S173" s="22">
        <f>IF(J173&lt;&gt;"0",J173,"")</f>
        <v>0</v>
      </c>
      <c r="T173" s="23">
        <v>-2</v>
      </c>
      <c r="U173" s="23">
        <v>-2</v>
      </c>
      <c r="V173" s="23">
        <v>88</v>
      </c>
      <c r="W173" s="23">
        <v>1026.7</v>
      </c>
      <c r="X173" s="23">
        <v>9</v>
      </c>
    </row>
    <row r="174" spans="1:24" x14ac:dyDescent="0.2">
      <c r="A174" s="18">
        <v>45889</v>
      </c>
      <c r="B174" s="19" t="e">
        <f>IF(A174="","",VLOOKUP(Planilla!A174,#REF!,2,FALSE))</f>
        <v>#REF!</v>
      </c>
      <c r="C174" s="19" t="e">
        <f>IF(B174="","",VLOOKUP(Planilla!A174,#REF!,3,FALSE))</f>
        <v>#REF!</v>
      </c>
      <c r="D174" s="20" t="s">
        <v>30</v>
      </c>
      <c r="E174" s="21" t="s">
        <v>43</v>
      </c>
      <c r="F174" s="21" t="s">
        <v>32</v>
      </c>
      <c r="G174" s="21" t="s">
        <v>65</v>
      </c>
      <c r="H174" s="21" t="s">
        <v>34</v>
      </c>
      <c r="I174" s="36">
        <v>500</v>
      </c>
      <c r="J174" s="36"/>
      <c r="K174" s="21" t="s">
        <v>50</v>
      </c>
      <c r="L174" s="21"/>
      <c r="M174" s="24" t="e">
        <f>IF(K174="",0,VLOOKUP(K174,#REF!,2,FALSE))</f>
        <v>#REF!</v>
      </c>
      <c r="N174" s="24">
        <f>IF(L174="",0,VLOOKUP(L174,#REF!,2,FALSE))</f>
        <v>0</v>
      </c>
      <c r="O174" s="24" t="e">
        <f t="shared" si="7"/>
        <v>#REF!</v>
      </c>
      <c r="P174" s="24" t="e">
        <f>IF(F174="Barrido","",O174)</f>
        <v>#REF!</v>
      </c>
      <c r="Q174" s="24" t="str">
        <f>IF(F174="Barrido",O174,"")</f>
        <v/>
      </c>
      <c r="R174" s="24">
        <f>IF(I174&lt;&gt;"0",I174,"")</f>
        <v>500</v>
      </c>
      <c r="S174" s="22">
        <f>IF(J174&lt;&gt;"0",J174,"")</f>
        <v>0</v>
      </c>
      <c r="T174" s="23">
        <v>2</v>
      </c>
      <c r="U174" s="23">
        <v>0</v>
      </c>
      <c r="V174" s="23">
        <v>94</v>
      </c>
      <c r="W174" s="23">
        <v>983.9</v>
      </c>
      <c r="X174" s="23">
        <v>7</v>
      </c>
    </row>
    <row r="175" spans="1:24" x14ac:dyDescent="0.2">
      <c r="A175" s="18"/>
      <c r="B175" s="19" t="str">
        <f>IF(A175="","",VLOOKUP(Planilla!A175,#REF!,2,FALSE))</f>
        <v/>
      </c>
      <c r="C175" s="19" t="str">
        <f>IF(B175="","",VLOOKUP(Planilla!A175,#REF!,3,FALSE))</f>
        <v/>
      </c>
      <c r="D175" s="20"/>
      <c r="E175" s="21"/>
      <c r="F175" s="21"/>
      <c r="G175" s="21"/>
      <c r="H175" s="21"/>
      <c r="I175" s="36"/>
      <c r="J175" s="36"/>
      <c r="K175" s="21"/>
      <c r="L175" s="21"/>
      <c r="M175" s="24">
        <f>IF(K175="",0,VLOOKUP(K175,#REF!,2,FALSE))</f>
        <v>0</v>
      </c>
      <c r="N175" s="24">
        <f>IF(L175="",0,VLOOKUP(L175,#REF!,2,FALSE))</f>
        <v>0</v>
      </c>
      <c r="O175" s="24">
        <f t="shared" si="7"/>
        <v>0</v>
      </c>
      <c r="P175" s="24">
        <f>IF(F175="Barrido","",O175)</f>
        <v>0</v>
      </c>
      <c r="Q175" s="24" t="str">
        <f>IF(F175="Barrido",O175,"")</f>
        <v/>
      </c>
      <c r="R175" s="24">
        <f>IF(I175&lt;&gt;"0",I175,"")</f>
        <v>0</v>
      </c>
      <c r="S175" s="22">
        <f>IF(J175&lt;&gt;"0",J175,"")</f>
        <v>0</v>
      </c>
      <c r="T175" s="23"/>
      <c r="U175" s="23"/>
      <c r="V175" s="23"/>
      <c r="W175" s="23"/>
      <c r="X175" s="23"/>
    </row>
    <row r="176" spans="1:24" x14ac:dyDescent="0.2">
      <c r="A176" s="18"/>
      <c r="B176" s="19" t="str">
        <f>IF(A176="","",VLOOKUP(Planilla!A176,#REF!,2,FALSE))</f>
        <v/>
      </c>
      <c r="C176" s="19" t="str">
        <f>IF(B176="","",VLOOKUP(Planilla!A176,#REF!,3,FALSE))</f>
        <v/>
      </c>
      <c r="D176" s="20"/>
      <c r="E176" s="21"/>
      <c r="F176" s="21"/>
      <c r="G176" s="21"/>
      <c r="H176" s="21"/>
      <c r="I176" s="36"/>
      <c r="J176" s="36"/>
      <c r="K176" s="21"/>
      <c r="L176" s="21"/>
      <c r="M176" s="24">
        <f>IF(K176="",0,VLOOKUP(K176,#REF!,2,FALSE))</f>
        <v>0</v>
      </c>
      <c r="N176" s="24">
        <f>IF(L176="",0,VLOOKUP(L176,#REF!,2,FALSE))</f>
        <v>0</v>
      </c>
      <c r="O176" s="24">
        <f t="shared" si="7"/>
        <v>0</v>
      </c>
      <c r="P176" s="24">
        <f>IF(F176="Barrido","",O176)</f>
        <v>0</v>
      </c>
      <c r="Q176" s="24" t="str">
        <f>IF(F176="Barrido",O176,"")</f>
        <v/>
      </c>
      <c r="R176" s="24">
        <f>IF(I176&lt;&gt;"0",I176,"")</f>
        <v>0</v>
      </c>
      <c r="S176" s="22">
        <f>IF(J176&lt;&gt;"0",J176,"")</f>
        <v>0</v>
      </c>
      <c r="T176" s="23"/>
      <c r="U176" s="23"/>
      <c r="V176" s="23"/>
      <c r="W176" s="23"/>
      <c r="X176" s="23"/>
    </row>
    <row r="177" spans="1:24" x14ac:dyDescent="0.2">
      <c r="A177" s="18"/>
      <c r="B177" s="19" t="str">
        <f>IF(A177="","",VLOOKUP(Planilla!A177,#REF!,2,FALSE))</f>
        <v/>
      </c>
      <c r="C177" s="19" t="str">
        <f>IF(B177="","",VLOOKUP(Planilla!A177,#REF!,3,FALSE))</f>
        <v/>
      </c>
      <c r="D177" s="20"/>
      <c r="E177" s="21"/>
      <c r="F177" s="21"/>
      <c r="G177" s="21"/>
      <c r="H177" s="21"/>
      <c r="I177" s="36"/>
      <c r="J177" s="36"/>
      <c r="K177" s="21"/>
      <c r="L177" s="21"/>
      <c r="M177" s="24">
        <f>IF(K177="",0,VLOOKUP(K177,#REF!,2,FALSE))</f>
        <v>0</v>
      </c>
      <c r="N177" s="24">
        <f>IF(L177="",0,VLOOKUP(L177,#REF!,2,FALSE))</f>
        <v>0</v>
      </c>
      <c r="O177" s="24">
        <f t="shared" si="7"/>
        <v>0</v>
      </c>
      <c r="P177" s="24">
        <f>IF(F177="Barrido","",O177)</f>
        <v>0</v>
      </c>
      <c r="Q177" s="24" t="str">
        <f>IF(F177="Barrido",O177,"")</f>
        <v/>
      </c>
      <c r="R177" s="24">
        <f>IF(I177&lt;&gt;"0",I177,"")</f>
        <v>0</v>
      </c>
      <c r="S177" s="22">
        <f>IF(J177&lt;&gt;"0",J177,"")</f>
        <v>0</v>
      </c>
      <c r="T177" s="23"/>
      <c r="U177" s="23"/>
      <c r="V177" s="23"/>
      <c r="W177" s="23"/>
      <c r="X177" s="23"/>
    </row>
    <row r="178" spans="1:24" x14ac:dyDescent="0.2">
      <c r="A178" s="18"/>
      <c r="B178" s="19" t="str">
        <f>IF(A178="","",VLOOKUP(Planilla!A178,#REF!,2,FALSE))</f>
        <v/>
      </c>
      <c r="C178" s="19" t="str">
        <f>IF(B178="","",VLOOKUP(Planilla!A178,#REF!,3,FALSE))</f>
        <v/>
      </c>
      <c r="D178" s="20"/>
      <c r="E178" s="21"/>
      <c r="F178" s="21"/>
      <c r="G178" s="21"/>
      <c r="H178" s="21"/>
      <c r="I178" s="36"/>
      <c r="J178" s="36"/>
      <c r="K178" s="21"/>
      <c r="L178" s="21"/>
      <c r="M178" s="24">
        <f>IF(K178="",0,VLOOKUP(K178,#REF!,2,FALSE))</f>
        <v>0</v>
      </c>
      <c r="N178" s="24">
        <f>IF(L178="",0,VLOOKUP(L178,#REF!,2,FALSE))</f>
        <v>0</v>
      </c>
      <c r="O178" s="24">
        <f t="shared" si="7"/>
        <v>0</v>
      </c>
      <c r="P178" s="24">
        <f>IF(F178="Barrido","",O178)</f>
        <v>0</v>
      </c>
      <c r="Q178" s="24" t="str">
        <f>IF(F178="Barrido",O178,"")</f>
        <v/>
      </c>
      <c r="R178" s="24">
        <f>IF(I178&lt;&gt;"0",I178,"")</f>
        <v>0</v>
      </c>
      <c r="S178" s="22">
        <f>IF(J178&lt;&gt;"0",J178,"")</f>
        <v>0</v>
      </c>
      <c r="T178" s="23"/>
      <c r="U178" s="23"/>
      <c r="V178" s="23"/>
      <c r="W178" s="23"/>
      <c r="X178" s="23"/>
    </row>
    <row r="179" spans="1:24" x14ac:dyDescent="0.2">
      <c r="A179" s="18"/>
      <c r="B179" s="19" t="str">
        <f>IF(A179="","",VLOOKUP(Planilla!A179,#REF!,2,FALSE))</f>
        <v/>
      </c>
      <c r="C179" s="19" t="str">
        <f>IF(B179="","",VLOOKUP(Planilla!A179,#REF!,3,FALSE))</f>
        <v/>
      </c>
      <c r="D179" s="20"/>
      <c r="E179" s="21"/>
      <c r="F179" s="21"/>
      <c r="G179" s="21"/>
      <c r="H179" s="21"/>
      <c r="I179" s="36"/>
      <c r="J179" s="36"/>
      <c r="K179" s="21"/>
      <c r="L179" s="21"/>
      <c r="M179" s="24">
        <f>IF(K179="",0,VLOOKUP(K179,#REF!,2,FALSE))</f>
        <v>0</v>
      </c>
      <c r="N179" s="24">
        <f>IF(L179="",0,VLOOKUP(L179,#REF!,2,FALSE))</f>
        <v>0</v>
      </c>
      <c r="O179" s="24">
        <f t="shared" si="7"/>
        <v>0</v>
      </c>
      <c r="P179" s="24">
        <f>IF(F179="Barrido","",O179)</f>
        <v>0</v>
      </c>
      <c r="Q179" s="24" t="str">
        <f>IF(F179="Barrido",O179,"")</f>
        <v/>
      </c>
      <c r="R179" s="24">
        <f>IF(I179&lt;&gt;"0",I179,"")</f>
        <v>0</v>
      </c>
      <c r="S179" s="22">
        <f>IF(J179&lt;&gt;"0",J179,"")</f>
        <v>0</v>
      </c>
      <c r="T179" s="23"/>
      <c r="U179" s="23"/>
      <c r="V179" s="23"/>
      <c r="W179" s="23"/>
      <c r="X179" s="23"/>
    </row>
    <row r="180" spans="1:24" x14ac:dyDescent="0.2">
      <c r="A180" s="18"/>
      <c r="B180" s="19" t="str">
        <f>IF(A180="","",VLOOKUP(Planilla!A180,#REF!,2,FALSE))</f>
        <v/>
      </c>
      <c r="C180" s="19" t="str">
        <f>IF(B180="","",VLOOKUP(Planilla!A180,#REF!,3,FALSE))</f>
        <v/>
      </c>
      <c r="D180" s="20"/>
      <c r="E180" s="21"/>
      <c r="F180" s="21"/>
      <c r="G180" s="21"/>
      <c r="H180" s="21"/>
      <c r="I180" s="36"/>
      <c r="J180" s="36"/>
      <c r="K180" s="21"/>
      <c r="L180" s="21"/>
      <c r="M180" s="24">
        <f>IF(K180="",0,VLOOKUP(K180,#REF!,2,FALSE))</f>
        <v>0</v>
      </c>
      <c r="N180" s="24">
        <f>IF(L180="",0,VLOOKUP(L180,#REF!,2,FALSE))</f>
        <v>0</v>
      </c>
      <c r="O180" s="24">
        <f t="shared" si="7"/>
        <v>0</v>
      </c>
      <c r="P180" s="24">
        <f>IF(F180="Barrido","",O180)</f>
        <v>0</v>
      </c>
      <c r="Q180" s="24" t="str">
        <f>IF(F180="Barrido",O180,"")</f>
        <v/>
      </c>
      <c r="R180" s="24">
        <f>IF(I180&lt;&gt;"0",I180,"")</f>
        <v>0</v>
      </c>
      <c r="S180" s="22">
        <f>IF(J180&lt;&gt;"0",J180,"")</f>
        <v>0</v>
      </c>
      <c r="T180" s="23"/>
      <c r="U180" s="23"/>
      <c r="V180" s="23"/>
      <c r="W180" s="23"/>
      <c r="X180" s="23"/>
    </row>
    <row r="181" spans="1:24" x14ac:dyDescent="0.2">
      <c r="A181" s="18"/>
      <c r="B181" s="19" t="str">
        <f>IF(A181="","",VLOOKUP(Planilla!A181,#REF!,2,FALSE))</f>
        <v/>
      </c>
      <c r="C181" s="19" t="str">
        <f>IF(B181="","",VLOOKUP(Planilla!A181,#REF!,3,FALSE))</f>
        <v/>
      </c>
      <c r="D181" s="20"/>
      <c r="E181" s="21"/>
      <c r="F181" s="21"/>
      <c r="G181" s="21"/>
      <c r="H181" s="21"/>
      <c r="I181" s="36"/>
      <c r="J181" s="36"/>
      <c r="K181" s="21"/>
      <c r="L181" s="21"/>
      <c r="M181" s="24">
        <f>IF(K181="",0,VLOOKUP(K181,#REF!,2,FALSE))</f>
        <v>0</v>
      </c>
      <c r="N181" s="24">
        <f>IF(L181="",0,VLOOKUP(L181,#REF!,2,FALSE))</f>
        <v>0</v>
      </c>
      <c r="O181" s="24">
        <f t="shared" si="7"/>
        <v>0</v>
      </c>
      <c r="P181" s="24">
        <f>IF(F181="Barrido","",O181)</f>
        <v>0</v>
      </c>
      <c r="Q181" s="24" t="str">
        <f>IF(F181="Barrido",O181,"")</f>
        <v/>
      </c>
      <c r="R181" s="24">
        <f>IF(I181&lt;&gt;"0",I181,"")</f>
        <v>0</v>
      </c>
      <c r="S181" s="22">
        <f>IF(J181&lt;&gt;"0",J181,"")</f>
        <v>0</v>
      </c>
      <c r="T181" s="23"/>
      <c r="U181" s="23"/>
      <c r="V181" s="23"/>
      <c r="W181" s="23"/>
      <c r="X181" s="23"/>
    </row>
    <row r="182" spans="1:24" x14ac:dyDescent="0.2">
      <c r="A182" s="18"/>
      <c r="B182" s="19" t="str">
        <f>IF(A182="","",VLOOKUP(Planilla!A182,#REF!,2,FALSE))</f>
        <v/>
      </c>
      <c r="C182" s="19" t="str">
        <f>IF(B182="","",VLOOKUP(Planilla!A182,#REF!,3,FALSE))</f>
        <v/>
      </c>
      <c r="D182" s="20"/>
      <c r="E182" s="21"/>
      <c r="F182" s="21"/>
      <c r="G182" s="21"/>
      <c r="H182" s="21"/>
      <c r="I182" s="36"/>
      <c r="J182" s="36"/>
      <c r="K182" s="21"/>
      <c r="L182" s="21"/>
      <c r="M182" s="24">
        <f>IF(K182="",0,VLOOKUP(K182,#REF!,2,FALSE))</f>
        <v>0</v>
      </c>
      <c r="N182" s="24">
        <f>IF(L182="",0,VLOOKUP(L182,#REF!,2,FALSE))</f>
        <v>0</v>
      </c>
      <c r="O182" s="24">
        <f t="shared" si="7"/>
        <v>0</v>
      </c>
      <c r="P182" s="24">
        <f>IF(F182="Barrido","",O182)</f>
        <v>0</v>
      </c>
      <c r="Q182" s="24" t="str">
        <f>IF(F182="Barrido",O182,"")</f>
        <v/>
      </c>
      <c r="R182" s="24">
        <f>IF(I182&lt;&gt;"0",I182,"")</f>
        <v>0</v>
      </c>
      <c r="S182" s="22">
        <f>IF(J182&lt;&gt;"0",J182,"")</f>
        <v>0</v>
      </c>
      <c r="T182" s="23"/>
      <c r="U182" s="23"/>
      <c r="V182" s="23"/>
      <c r="W182" s="23"/>
      <c r="X182" s="23"/>
    </row>
    <row r="183" spans="1:24" x14ac:dyDescent="0.2">
      <c r="A183" s="18"/>
      <c r="B183" s="19" t="str">
        <f>IF(A183="","",VLOOKUP(Planilla!A183,#REF!,2,FALSE))</f>
        <v/>
      </c>
      <c r="C183" s="19" t="str">
        <f>IF(B183="","",VLOOKUP(Planilla!A183,#REF!,3,FALSE))</f>
        <v/>
      </c>
      <c r="D183" s="20"/>
      <c r="E183" s="21"/>
      <c r="F183" s="21"/>
      <c r="G183" s="21"/>
      <c r="H183" s="21"/>
      <c r="I183" s="36"/>
      <c r="J183" s="36"/>
      <c r="K183" s="21"/>
      <c r="L183" s="21"/>
      <c r="M183" s="24">
        <f>IF(K183="",0,VLOOKUP(K183,#REF!,2,FALSE))</f>
        <v>0</v>
      </c>
      <c r="N183" s="24">
        <f>IF(L183="",0,VLOOKUP(L183,#REF!,2,FALSE))</f>
        <v>0</v>
      </c>
      <c r="O183" s="24">
        <f t="shared" si="7"/>
        <v>0</v>
      </c>
      <c r="P183" s="24">
        <f>IF(F183="Barrido","",O183)</f>
        <v>0</v>
      </c>
      <c r="Q183" s="24" t="str">
        <f>IF(F183="Barrido",O183,"")</f>
        <v/>
      </c>
      <c r="R183" s="24">
        <f>IF(I183&lt;&gt;"0",I183,"")</f>
        <v>0</v>
      </c>
      <c r="S183" s="22">
        <f>IF(J183&lt;&gt;"0",J183,"")</f>
        <v>0</v>
      </c>
      <c r="T183" s="23"/>
      <c r="U183" s="23"/>
      <c r="V183" s="23"/>
      <c r="W183" s="23"/>
      <c r="X183" s="23"/>
    </row>
    <row r="184" spans="1:24" x14ac:dyDescent="0.2">
      <c r="A184" s="18"/>
      <c r="B184" s="19" t="str">
        <f>IF(A184="","",VLOOKUP(Planilla!A184,#REF!,2,FALSE))</f>
        <v/>
      </c>
      <c r="C184" s="19" t="str">
        <f>IF(B184="","",VLOOKUP(Planilla!A184,#REF!,3,FALSE))</f>
        <v/>
      </c>
      <c r="D184" s="20"/>
      <c r="E184" s="21"/>
      <c r="F184" s="21"/>
      <c r="G184" s="21"/>
      <c r="H184" s="21"/>
      <c r="I184" s="36"/>
      <c r="J184" s="36"/>
      <c r="K184" s="21"/>
      <c r="L184" s="21"/>
      <c r="M184" s="24">
        <f>IF(K184="",0,VLOOKUP(K184,#REF!,2,FALSE))</f>
        <v>0</v>
      </c>
      <c r="N184" s="24">
        <f>IF(L184="",0,VLOOKUP(L184,#REF!,2,FALSE))</f>
        <v>0</v>
      </c>
      <c r="O184" s="24">
        <f t="shared" si="7"/>
        <v>0</v>
      </c>
      <c r="P184" s="24">
        <f>IF(F184="Barrido","",O184)</f>
        <v>0</v>
      </c>
      <c r="Q184" s="24" t="str">
        <f>IF(F184="Barrido",O184,"")</f>
        <v/>
      </c>
      <c r="R184" s="24">
        <f>IF(I184&lt;&gt;"0",I184,"")</f>
        <v>0</v>
      </c>
      <c r="S184" s="22">
        <f>IF(J184&lt;&gt;"0",J184,"")</f>
        <v>0</v>
      </c>
      <c r="T184" s="23"/>
      <c r="U184" s="23"/>
      <c r="V184" s="23"/>
      <c r="W184" s="23"/>
      <c r="X184" s="23"/>
    </row>
    <row r="185" spans="1:24" x14ac:dyDescent="0.2">
      <c r="A185" s="18"/>
      <c r="B185" s="19" t="str">
        <f>IF(A185="","",VLOOKUP(Planilla!A185,#REF!,2,FALSE))</f>
        <v/>
      </c>
      <c r="C185" s="19" t="str">
        <f>IF(B185="","",VLOOKUP(Planilla!A185,#REF!,3,FALSE))</f>
        <v/>
      </c>
      <c r="D185" s="20"/>
      <c r="E185" s="21"/>
      <c r="F185" s="21"/>
      <c r="G185" s="21"/>
      <c r="H185" s="21"/>
      <c r="I185" s="36"/>
      <c r="J185" s="36"/>
      <c r="K185" s="21"/>
      <c r="L185" s="21"/>
      <c r="M185" s="24">
        <f>IF(K185="",0,VLOOKUP(K185,#REF!,2,FALSE))</f>
        <v>0</v>
      </c>
      <c r="N185" s="24">
        <f>IF(L185="",0,VLOOKUP(L185,#REF!,2,FALSE))</f>
        <v>0</v>
      </c>
      <c r="O185" s="24">
        <f t="shared" si="7"/>
        <v>0</v>
      </c>
      <c r="P185" s="24">
        <f>IF(F185="Barrido","",O185)</f>
        <v>0</v>
      </c>
      <c r="Q185" s="24" t="str">
        <f>IF(F185="Barrido",O185,"")</f>
        <v/>
      </c>
      <c r="R185" s="24">
        <f>IF(I185&lt;&gt;"0",I185,"")</f>
        <v>0</v>
      </c>
      <c r="S185" s="22">
        <f>IF(J185&lt;&gt;"0",J185,"")</f>
        <v>0</v>
      </c>
      <c r="T185" s="23"/>
      <c r="U185" s="23"/>
      <c r="V185" s="23"/>
      <c r="W185" s="23"/>
      <c r="X185" s="23"/>
    </row>
    <row r="186" spans="1:24" x14ac:dyDescent="0.2">
      <c r="A186" s="18"/>
      <c r="B186" s="19" t="str">
        <f>IF(A186="","",VLOOKUP(Planilla!A186,#REF!,2,FALSE))</f>
        <v/>
      </c>
      <c r="C186" s="19" t="str">
        <f>IF(B186="","",VLOOKUP(Planilla!A186,#REF!,3,FALSE))</f>
        <v/>
      </c>
      <c r="D186" s="20"/>
      <c r="E186" s="21"/>
      <c r="F186" s="21"/>
      <c r="G186" s="21"/>
      <c r="H186" s="21"/>
      <c r="I186" s="36"/>
      <c r="J186" s="36"/>
      <c r="K186" s="21"/>
      <c r="L186" s="21"/>
      <c r="M186" s="24">
        <f>IF(K186="",0,VLOOKUP(K186,#REF!,2,FALSE))</f>
        <v>0</v>
      </c>
      <c r="N186" s="24">
        <f>IF(L186="",0,VLOOKUP(L186,#REF!,2,FALSE))</f>
        <v>0</v>
      </c>
      <c r="O186" s="24">
        <f t="shared" si="7"/>
        <v>0</v>
      </c>
      <c r="P186" s="24">
        <f>IF(F186="Barrido","",O186)</f>
        <v>0</v>
      </c>
      <c r="Q186" s="24" t="str">
        <f>IF(F186="Barrido",O186,"")</f>
        <v/>
      </c>
      <c r="R186" s="24">
        <f>IF(I186&lt;&gt;"0",I186,"")</f>
        <v>0</v>
      </c>
      <c r="S186" s="22">
        <f>IF(J186&lt;&gt;"0",J186,"")</f>
        <v>0</v>
      </c>
      <c r="T186" s="23"/>
      <c r="U186" s="23"/>
      <c r="V186" s="23"/>
      <c r="W186" s="23"/>
      <c r="X186" s="23"/>
    </row>
    <row r="187" spans="1:24" x14ac:dyDescent="0.2">
      <c r="A187" s="18"/>
      <c r="B187" s="19" t="str">
        <f>IF(A187="","",VLOOKUP(Planilla!A187,#REF!,2,FALSE))</f>
        <v/>
      </c>
      <c r="C187" s="19" t="str">
        <f>IF(B187="","",VLOOKUP(Planilla!A187,#REF!,3,FALSE))</f>
        <v/>
      </c>
      <c r="D187" s="20"/>
      <c r="E187" s="21"/>
      <c r="F187" s="21"/>
      <c r="G187" s="21"/>
      <c r="H187" s="21"/>
      <c r="I187" s="36"/>
      <c r="J187" s="36"/>
      <c r="K187" s="21"/>
      <c r="L187" s="21"/>
      <c r="M187" s="24">
        <f>IF(K187="",0,VLOOKUP(K187,#REF!,2,FALSE))</f>
        <v>0</v>
      </c>
      <c r="N187" s="24">
        <f>IF(L187="",0,VLOOKUP(L187,#REF!,2,FALSE))</f>
        <v>0</v>
      </c>
      <c r="O187" s="24">
        <f t="shared" si="7"/>
        <v>0</v>
      </c>
      <c r="P187" s="24">
        <f>IF(F187="Barrido","",O187)</f>
        <v>0</v>
      </c>
      <c r="Q187" s="24" t="str">
        <f>IF(F187="Barrido",O187,"")</f>
        <v/>
      </c>
      <c r="R187" s="24">
        <f>IF(I187&lt;&gt;"0",I187,"")</f>
        <v>0</v>
      </c>
      <c r="S187" s="22">
        <f>IF(J187&lt;&gt;"0",J187,"")</f>
        <v>0</v>
      </c>
      <c r="T187" s="23"/>
      <c r="U187" s="23"/>
      <c r="V187" s="23"/>
      <c r="W187" s="23"/>
      <c r="X187" s="23"/>
    </row>
    <row r="188" spans="1:24" x14ac:dyDescent="0.2">
      <c r="A188" s="18"/>
      <c r="B188" s="19" t="str">
        <f>IF(A188="","",VLOOKUP(Planilla!A188,#REF!,2,FALSE))</f>
        <v/>
      </c>
      <c r="C188" s="19" t="str">
        <f>IF(B188="","",VLOOKUP(Planilla!A188,#REF!,3,FALSE))</f>
        <v/>
      </c>
      <c r="D188" s="20"/>
      <c r="E188" s="21"/>
      <c r="F188" s="21"/>
      <c r="G188" s="21"/>
      <c r="H188" s="21"/>
      <c r="I188" s="36"/>
      <c r="J188" s="36"/>
      <c r="K188" s="21"/>
      <c r="L188" s="21"/>
      <c r="M188" s="24">
        <f>IF(K188="",0,VLOOKUP(K188,#REF!,2,FALSE))</f>
        <v>0</v>
      </c>
      <c r="N188" s="24">
        <f>IF(L188="",0,VLOOKUP(L188,#REF!,2,FALSE))</f>
        <v>0</v>
      </c>
      <c r="O188" s="24">
        <f t="shared" si="7"/>
        <v>0</v>
      </c>
      <c r="P188" s="24">
        <f>IF(F188="Barrido","",O188)</f>
        <v>0</v>
      </c>
      <c r="Q188" s="24" t="str">
        <f>IF(F188="Barrido",O188,"")</f>
        <v/>
      </c>
      <c r="R188" s="24">
        <f>IF(I188&lt;&gt;"0",I188,"")</f>
        <v>0</v>
      </c>
      <c r="S188" s="22">
        <f>IF(J188&lt;&gt;"0",J188,"")</f>
        <v>0</v>
      </c>
      <c r="T188" s="23"/>
      <c r="U188" s="23"/>
      <c r="V188" s="23"/>
      <c r="W188" s="23"/>
      <c r="X188" s="23"/>
    </row>
    <row r="189" spans="1:24" x14ac:dyDescent="0.2">
      <c r="A189" s="18"/>
      <c r="B189" s="19" t="str">
        <f>IF(A189="","",VLOOKUP(Planilla!A189,#REF!,2,FALSE))</f>
        <v/>
      </c>
      <c r="C189" s="19" t="str">
        <f>IF(B189="","",VLOOKUP(Planilla!A189,#REF!,3,FALSE))</f>
        <v/>
      </c>
      <c r="D189" s="20"/>
      <c r="E189" s="21"/>
      <c r="F189" s="21"/>
      <c r="G189" s="21"/>
      <c r="H189" s="21"/>
      <c r="I189" s="36"/>
      <c r="J189" s="36"/>
      <c r="K189" s="21"/>
      <c r="L189" s="21"/>
      <c r="M189" s="24">
        <f>IF(K189="",0,VLOOKUP(K189,#REF!,2,FALSE))</f>
        <v>0</v>
      </c>
      <c r="N189" s="24">
        <f>IF(L189="",0,VLOOKUP(L189,#REF!,2,FALSE))</f>
        <v>0</v>
      </c>
      <c r="O189" s="24">
        <f t="shared" si="7"/>
        <v>0</v>
      </c>
      <c r="P189" s="24">
        <f>IF(F189="Barrido","",O189)</f>
        <v>0</v>
      </c>
      <c r="Q189" s="24" t="str">
        <f>IF(F189="Barrido",O189,"")</f>
        <v/>
      </c>
      <c r="R189" s="24">
        <f>IF(I189&lt;&gt;"0",I189,"")</f>
        <v>0</v>
      </c>
      <c r="S189" s="22">
        <f>IF(J189&lt;&gt;"0",J189,"")</f>
        <v>0</v>
      </c>
      <c r="T189" s="23"/>
      <c r="U189" s="23"/>
      <c r="V189" s="23"/>
      <c r="W189" s="23"/>
      <c r="X189" s="23"/>
    </row>
    <row r="190" spans="1:24" x14ac:dyDescent="0.2">
      <c r="A190" s="18"/>
      <c r="B190" s="19" t="str">
        <f>IF(A190="","",VLOOKUP(Planilla!A190,#REF!,2,FALSE))</f>
        <v/>
      </c>
      <c r="C190" s="19" t="str">
        <f>IF(B190="","",VLOOKUP(Planilla!A190,#REF!,3,FALSE))</f>
        <v/>
      </c>
      <c r="D190" s="20"/>
      <c r="E190" s="21"/>
      <c r="F190" s="21"/>
      <c r="G190" s="21"/>
      <c r="H190" s="21"/>
      <c r="I190" s="36"/>
      <c r="J190" s="36"/>
      <c r="K190" s="21"/>
      <c r="L190" s="21"/>
      <c r="M190" s="24">
        <f>IF(K190="",0,VLOOKUP(K190,#REF!,2,FALSE))</f>
        <v>0</v>
      </c>
      <c r="N190" s="24">
        <f>IF(L190="",0,VLOOKUP(L190,#REF!,2,FALSE))</f>
        <v>0</v>
      </c>
      <c r="O190" s="24">
        <f t="shared" si="7"/>
        <v>0</v>
      </c>
      <c r="P190" s="24">
        <f>IF(F190="Barrido","",O190)</f>
        <v>0</v>
      </c>
      <c r="Q190" s="24" t="str">
        <f>IF(F190="Barrido",O190,"")</f>
        <v/>
      </c>
      <c r="R190" s="24">
        <f>IF(I190&lt;&gt;"0",I190,"")</f>
        <v>0</v>
      </c>
      <c r="S190" s="22">
        <f>IF(J190&lt;&gt;"0",J190,"")</f>
        <v>0</v>
      </c>
      <c r="T190" s="23"/>
      <c r="U190" s="23"/>
      <c r="V190" s="23"/>
      <c r="W190" s="23"/>
      <c r="X190" s="23"/>
    </row>
    <row r="191" spans="1:24" x14ac:dyDescent="0.2">
      <c r="A191" s="18"/>
      <c r="B191" s="19" t="str">
        <f>IF(A191="","",VLOOKUP(Planilla!A191,#REF!,2,FALSE))</f>
        <v/>
      </c>
      <c r="C191" s="19" t="str">
        <f>IF(B191="","",VLOOKUP(Planilla!A191,#REF!,3,FALSE))</f>
        <v/>
      </c>
      <c r="D191" s="20"/>
      <c r="E191" s="21"/>
      <c r="F191" s="21"/>
      <c r="G191" s="21"/>
      <c r="H191" s="21"/>
      <c r="I191" s="36"/>
      <c r="J191" s="36"/>
      <c r="K191" s="21"/>
      <c r="L191" s="21"/>
      <c r="M191" s="24">
        <f>IF(K191="",0,VLOOKUP(K191,#REF!,2,FALSE))</f>
        <v>0</v>
      </c>
      <c r="N191" s="24">
        <f>IF(L191="",0,VLOOKUP(L191,#REF!,2,FALSE))</f>
        <v>0</v>
      </c>
      <c r="O191" s="24">
        <f t="shared" si="7"/>
        <v>0</v>
      </c>
      <c r="P191" s="24">
        <f>IF(F191="Barrido","",O191)</f>
        <v>0</v>
      </c>
      <c r="Q191" s="24" t="str">
        <f>IF(F191="Barrido",O191,"")</f>
        <v/>
      </c>
      <c r="R191" s="24">
        <f>IF(I191&lt;&gt;"0",I191,"")</f>
        <v>0</v>
      </c>
      <c r="S191" s="22">
        <f>IF(J191&lt;&gt;"0",J191,"")</f>
        <v>0</v>
      </c>
      <c r="T191" s="23"/>
      <c r="U191" s="23"/>
      <c r="V191" s="23"/>
      <c r="W191" s="23"/>
      <c r="X191" s="23"/>
    </row>
    <row r="192" spans="1:24" x14ac:dyDescent="0.2">
      <c r="A192" s="18"/>
      <c r="B192" s="19" t="str">
        <f>IF(A192="","",VLOOKUP(Planilla!A192,#REF!,2,FALSE))</f>
        <v/>
      </c>
      <c r="C192" s="19" t="str">
        <f>IF(B192="","",VLOOKUP(Planilla!A192,#REF!,3,FALSE))</f>
        <v/>
      </c>
      <c r="D192" s="20"/>
      <c r="E192" s="21"/>
      <c r="F192" s="21"/>
      <c r="G192" s="21"/>
      <c r="H192" s="21"/>
      <c r="I192" s="36"/>
      <c r="J192" s="36"/>
      <c r="K192" s="21"/>
      <c r="L192" s="21"/>
      <c r="M192" s="24">
        <f>IF(K192="",0,VLOOKUP(K192,#REF!,2,FALSE))</f>
        <v>0</v>
      </c>
      <c r="N192" s="24">
        <f>IF(L192="",0,VLOOKUP(L192,#REF!,2,FALSE))</f>
        <v>0</v>
      </c>
      <c r="O192" s="24">
        <f t="shared" si="7"/>
        <v>0</v>
      </c>
      <c r="P192" s="24">
        <f>IF(F192="Barrido","",O192)</f>
        <v>0</v>
      </c>
      <c r="Q192" s="24" t="str">
        <f>IF(F192="Barrido",O192,"")</f>
        <v/>
      </c>
      <c r="R192" s="24">
        <f>IF(I192&lt;&gt;"0",I192,"")</f>
        <v>0</v>
      </c>
      <c r="S192" s="22">
        <f>IF(J192&lt;&gt;"0",J192,"")</f>
        <v>0</v>
      </c>
      <c r="T192" s="23"/>
      <c r="U192" s="23"/>
      <c r="V192" s="23"/>
      <c r="W192" s="23"/>
      <c r="X192" s="23"/>
    </row>
    <row r="193" spans="1:24" x14ac:dyDescent="0.2">
      <c r="A193" s="18"/>
      <c r="B193" s="19" t="str">
        <f>IF(A193="","",VLOOKUP(Planilla!A193,#REF!,2,FALSE))</f>
        <v/>
      </c>
      <c r="C193" s="19" t="str">
        <f>IF(B193="","",VLOOKUP(Planilla!A193,#REF!,3,FALSE))</f>
        <v/>
      </c>
      <c r="D193" s="20"/>
      <c r="E193" s="21"/>
      <c r="F193" s="21"/>
      <c r="G193" s="21"/>
      <c r="H193" s="21"/>
      <c r="I193" s="36"/>
      <c r="J193" s="36"/>
      <c r="K193" s="21"/>
      <c r="L193" s="21"/>
      <c r="M193" s="24">
        <f>IF(K193="",0,VLOOKUP(K193,#REF!,2,FALSE))</f>
        <v>0</v>
      </c>
      <c r="N193" s="24">
        <f>IF(L193="",0,VLOOKUP(L193,#REF!,2,FALSE))</f>
        <v>0</v>
      </c>
      <c r="O193" s="24">
        <f t="shared" si="7"/>
        <v>0</v>
      </c>
      <c r="P193" s="24">
        <f>IF(F193="Barrido","",O193)</f>
        <v>0</v>
      </c>
      <c r="Q193" s="24" t="str">
        <f>IF(F193="Barrido",O193,"")</f>
        <v/>
      </c>
      <c r="R193" s="24">
        <f>IF(I193&lt;&gt;"0",I193,"")</f>
        <v>0</v>
      </c>
      <c r="S193" s="22">
        <f>IF(J193&lt;&gt;"0",J193,"")</f>
        <v>0</v>
      </c>
      <c r="T193" s="23"/>
      <c r="U193" s="23"/>
      <c r="V193" s="23"/>
      <c r="W193" s="23"/>
      <c r="X193" s="23"/>
    </row>
    <row r="194" spans="1:24" x14ac:dyDescent="0.2">
      <c r="A194" s="18"/>
      <c r="B194" s="19" t="str">
        <f>IF(A194="","",VLOOKUP(Planilla!A194,#REF!,2,FALSE))</f>
        <v/>
      </c>
      <c r="C194" s="19" t="str">
        <f>IF(B194="","",VLOOKUP(Planilla!A194,#REF!,3,FALSE))</f>
        <v/>
      </c>
      <c r="D194" s="20"/>
      <c r="E194" s="21"/>
      <c r="F194" s="21"/>
      <c r="G194" s="21"/>
      <c r="H194" s="21"/>
      <c r="I194" s="36"/>
      <c r="J194" s="36"/>
      <c r="K194" s="21"/>
      <c r="L194" s="21"/>
      <c r="M194" s="24">
        <f>IF(K194="",0,VLOOKUP(K194,#REF!,2,FALSE))</f>
        <v>0</v>
      </c>
      <c r="N194" s="24">
        <f>IF(L194="",0,VLOOKUP(L194,#REF!,2,FALSE))</f>
        <v>0</v>
      </c>
      <c r="O194" s="24">
        <f t="shared" si="7"/>
        <v>0</v>
      </c>
      <c r="P194" s="24">
        <f>IF(F194="Barrido","",O194)</f>
        <v>0</v>
      </c>
      <c r="Q194" s="24" t="str">
        <f>IF(F194="Barrido",O194,"")</f>
        <v/>
      </c>
      <c r="R194" s="24">
        <f>IF(I194&lt;&gt;"0",I194,"")</f>
        <v>0</v>
      </c>
      <c r="S194" s="22">
        <f>IF(J194&lt;&gt;"0",J194,"")</f>
        <v>0</v>
      </c>
      <c r="T194" s="23"/>
      <c r="U194" s="23"/>
      <c r="V194" s="23"/>
      <c r="W194" s="23"/>
      <c r="X194" s="23"/>
    </row>
    <row r="195" spans="1:24" x14ac:dyDescent="0.2">
      <c r="A195" s="18"/>
      <c r="B195" s="19" t="str">
        <f>IF(A195="","",VLOOKUP(Planilla!A195,#REF!,2,FALSE))</f>
        <v/>
      </c>
      <c r="C195" s="19" t="str">
        <f>IF(B195="","",VLOOKUP(Planilla!A195,#REF!,3,FALSE))</f>
        <v/>
      </c>
      <c r="D195" s="20"/>
      <c r="E195" s="21"/>
      <c r="F195" s="21"/>
      <c r="G195" s="21"/>
      <c r="H195" s="21"/>
      <c r="I195" s="36"/>
      <c r="J195" s="36"/>
      <c r="K195" s="21"/>
      <c r="L195" s="21"/>
      <c r="M195" s="24">
        <f>IF(K195="",0,VLOOKUP(K195,#REF!,2,FALSE))</f>
        <v>0</v>
      </c>
      <c r="N195" s="24">
        <f>IF(L195="",0,VLOOKUP(L195,#REF!,2,FALSE))</f>
        <v>0</v>
      </c>
      <c r="O195" s="24">
        <f t="shared" si="7"/>
        <v>0</v>
      </c>
      <c r="P195" s="24">
        <f>IF(F195="Barrido","",O195)</f>
        <v>0</v>
      </c>
      <c r="Q195" s="24" t="str">
        <f>IF(F195="Barrido",O195,"")</f>
        <v/>
      </c>
      <c r="R195" s="24">
        <f>IF(I195&lt;&gt;"0",I195,"")</f>
        <v>0</v>
      </c>
      <c r="S195" s="22">
        <f>IF(J195&lt;&gt;"0",J195,"")</f>
        <v>0</v>
      </c>
      <c r="T195" s="23"/>
      <c r="U195" s="23"/>
      <c r="V195" s="23"/>
      <c r="W195" s="23"/>
      <c r="X195" s="23"/>
    </row>
    <row r="196" spans="1:24" x14ac:dyDescent="0.2">
      <c r="A196" s="18"/>
      <c r="B196" s="19" t="str">
        <f>IF(A196="","",VLOOKUP(Planilla!A196,#REF!,2,FALSE))</f>
        <v/>
      </c>
      <c r="C196" s="19" t="str">
        <f>IF(B196="","",VLOOKUP(Planilla!A196,#REF!,3,FALSE))</f>
        <v/>
      </c>
      <c r="D196" s="20"/>
      <c r="E196" s="21"/>
      <c r="F196" s="21"/>
      <c r="G196" s="21"/>
      <c r="H196" s="21"/>
      <c r="I196" s="36"/>
      <c r="J196" s="36"/>
      <c r="K196" s="21"/>
      <c r="L196" s="21"/>
      <c r="M196" s="24">
        <f>IF(K196="",0,VLOOKUP(K196,#REF!,2,FALSE))</f>
        <v>0</v>
      </c>
      <c r="N196" s="24">
        <f>IF(L196="",0,VLOOKUP(L196,#REF!,2,FALSE))</f>
        <v>0</v>
      </c>
      <c r="O196" s="24">
        <f t="shared" si="7"/>
        <v>0</v>
      </c>
      <c r="P196" s="24">
        <f>IF(F196="Barrido","",O196)</f>
        <v>0</v>
      </c>
      <c r="Q196" s="24" t="str">
        <f>IF(F196="Barrido",O196,"")</f>
        <v/>
      </c>
      <c r="R196" s="24">
        <f>IF(I196&lt;&gt;"0",I196,"")</f>
        <v>0</v>
      </c>
      <c r="S196" s="22">
        <f>IF(J196&lt;&gt;"0",J196,"")</f>
        <v>0</v>
      </c>
      <c r="T196" s="23"/>
      <c r="U196" s="23"/>
      <c r="V196" s="23"/>
      <c r="W196" s="23"/>
      <c r="X196" s="23"/>
    </row>
    <row r="197" spans="1:24" x14ac:dyDescent="0.2">
      <c r="A197" s="18"/>
      <c r="B197" s="19" t="str">
        <f>IF(A197="","",VLOOKUP(Planilla!A197,#REF!,2,FALSE))</f>
        <v/>
      </c>
      <c r="C197" s="19" t="str">
        <f>IF(B197="","",VLOOKUP(Planilla!A197,#REF!,3,FALSE))</f>
        <v/>
      </c>
      <c r="D197" s="20"/>
      <c r="E197" s="21"/>
      <c r="F197" s="21"/>
      <c r="G197" s="21"/>
      <c r="H197" s="21"/>
      <c r="I197" s="36"/>
      <c r="J197" s="36"/>
      <c r="K197" s="21"/>
      <c r="L197" s="21"/>
      <c r="M197" s="24">
        <f>IF(K197="",0,VLOOKUP(K197,#REF!,2,FALSE))</f>
        <v>0</v>
      </c>
      <c r="N197" s="24">
        <f>IF(L197="",0,VLOOKUP(L197,#REF!,2,FALSE))</f>
        <v>0</v>
      </c>
      <c r="O197" s="24">
        <f t="shared" si="7"/>
        <v>0</v>
      </c>
      <c r="P197" s="24">
        <f>IF(F197="Barrido","",O197)</f>
        <v>0</v>
      </c>
      <c r="Q197" s="24" t="str">
        <f>IF(F197="Barrido",O197,"")</f>
        <v/>
      </c>
      <c r="R197" s="24">
        <f>IF(I197&lt;&gt;"0",I197,"")</f>
        <v>0</v>
      </c>
      <c r="S197" s="22">
        <f>IF(J197&lt;&gt;"0",J197,"")</f>
        <v>0</v>
      </c>
      <c r="T197" s="23"/>
      <c r="U197" s="23"/>
      <c r="V197" s="23"/>
      <c r="W197" s="23"/>
      <c r="X197" s="23"/>
    </row>
    <row r="198" spans="1:24" x14ac:dyDescent="0.2">
      <c r="A198" s="18"/>
      <c r="B198" s="19" t="str">
        <f>IF(A198="","",VLOOKUP(Planilla!A198,#REF!,2,FALSE))</f>
        <v/>
      </c>
      <c r="C198" s="19" t="str">
        <f>IF(B198="","",VLOOKUP(Planilla!A198,#REF!,3,FALSE))</f>
        <v/>
      </c>
      <c r="D198" s="20"/>
      <c r="E198" s="21"/>
      <c r="F198" s="21"/>
      <c r="G198" s="21"/>
      <c r="H198" s="21"/>
      <c r="I198" s="36"/>
      <c r="J198" s="36"/>
      <c r="K198" s="21"/>
      <c r="L198" s="21"/>
      <c r="M198" s="24">
        <f>IF(K198="",0,VLOOKUP(K198,#REF!,2,FALSE))</f>
        <v>0</v>
      </c>
      <c r="N198" s="24">
        <f>IF(L198="",0,VLOOKUP(L198,#REF!,2,FALSE))</f>
        <v>0</v>
      </c>
      <c r="O198" s="24">
        <f t="shared" si="7"/>
        <v>0</v>
      </c>
      <c r="P198" s="24">
        <f>IF(F198="Barrido","",O198)</f>
        <v>0</v>
      </c>
      <c r="Q198" s="24" t="str">
        <f>IF(F198="Barrido",O198,"")</f>
        <v/>
      </c>
      <c r="R198" s="24">
        <f>IF(I198&lt;&gt;"0",I198,"")</f>
        <v>0</v>
      </c>
      <c r="S198" s="22">
        <f>IF(J198&lt;&gt;"0",J198,"")</f>
        <v>0</v>
      </c>
      <c r="T198" s="23"/>
      <c r="U198" s="23"/>
      <c r="V198" s="23"/>
      <c r="W198" s="23"/>
      <c r="X198" s="23"/>
    </row>
    <row r="199" spans="1:24" x14ac:dyDescent="0.2">
      <c r="A199" s="18"/>
      <c r="B199" s="19" t="str">
        <f>IF(A199="","",VLOOKUP(Planilla!A199,#REF!,2,FALSE))</f>
        <v/>
      </c>
      <c r="C199" s="19" t="str">
        <f>IF(B199="","",VLOOKUP(Planilla!A199,#REF!,3,FALSE))</f>
        <v/>
      </c>
      <c r="D199" s="20"/>
      <c r="E199" s="21"/>
      <c r="F199" s="21"/>
      <c r="G199" s="21"/>
      <c r="H199" s="21"/>
      <c r="I199" s="36"/>
      <c r="J199" s="36"/>
      <c r="K199" s="21"/>
      <c r="L199" s="21"/>
      <c r="M199" s="24">
        <f>IF(K199="",0,VLOOKUP(K199,#REF!,2,FALSE))</f>
        <v>0</v>
      </c>
      <c r="N199" s="24">
        <f>IF(L199="",0,VLOOKUP(L199,#REF!,2,FALSE))</f>
        <v>0</v>
      </c>
      <c r="O199" s="24">
        <f t="shared" si="7"/>
        <v>0</v>
      </c>
      <c r="P199" s="24">
        <f>IF(F199="Barrido","",O199)</f>
        <v>0</v>
      </c>
      <c r="Q199" s="24" t="str">
        <f>IF(F199="Barrido",O199,"")</f>
        <v/>
      </c>
      <c r="R199" s="24">
        <f>IF(I199&lt;&gt;"0",I199,"")</f>
        <v>0</v>
      </c>
      <c r="S199" s="22">
        <f>IF(J199&lt;&gt;"0",J199,"")</f>
        <v>0</v>
      </c>
      <c r="T199" s="23"/>
      <c r="U199" s="23"/>
      <c r="V199" s="23"/>
      <c r="W199" s="23"/>
      <c r="X199" s="23"/>
    </row>
    <row r="200" spans="1:24" x14ac:dyDescent="0.2">
      <c r="A200" s="18"/>
      <c r="B200" s="19" t="str">
        <f>IF(A200="","",VLOOKUP(Planilla!A200,#REF!,2,FALSE))</f>
        <v/>
      </c>
      <c r="C200" s="19" t="str">
        <f>IF(B200="","",VLOOKUP(Planilla!A200,#REF!,3,FALSE))</f>
        <v/>
      </c>
      <c r="D200" s="20"/>
      <c r="E200" s="21"/>
      <c r="F200" s="21"/>
      <c r="G200" s="21"/>
      <c r="H200" s="21"/>
      <c r="I200" s="36"/>
      <c r="J200" s="36"/>
      <c r="K200" s="21"/>
      <c r="L200" s="21"/>
      <c r="M200" s="24">
        <f>IF(K200="",0,VLOOKUP(K200,#REF!,2,FALSE))</f>
        <v>0</v>
      </c>
      <c r="N200" s="24">
        <f>IF(L200="",0,VLOOKUP(L200,#REF!,2,FALSE))</f>
        <v>0</v>
      </c>
      <c r="O200" s="24">
        <f t="shared" si="7"/>
        <v>0</v>
      </c>
      <c r="P200" s="24">
        <f>IF(F200="Barrido","",O200)</f>
        <v>0</v>
      </c>
      <c r="Q200" s="24" t="str">
        <f>IF(F200="Barrido",O200,"")</f>
        <v/>
      </c>
      <c r="R200" s="24">
        <f>IF(I200&lt;&gt;"0",I200,"")</f>
        <v>0</v>
      </c>
      <c r="S200" s="22">
        <f>IF(J200&lt;&gt;"0",J200,"")</f>
        <v>0</v>
      </c>
      <c r="T200" s="23"/>
      <c r="U200" s="23"/>
      <c r="V200" s="23"/>
      <c r="W200" s="23"/>
      <c r="X200" s="23"/>
    </row>
    <row r="201" spans="1:24" x14ac:dyDescent="0.2">
      <c r="A201" s="18"/>
      <c r="B201" s="19" t="str">
        <f>IF(A201="","",VLOOKUP(Planilla!A201,#REF!,2,FALSE))</f>
        <v/>
      </c>
      <c r="C201" s="19" t="str">
        <f>IF(B201="","",VLOOKUP(Planilla!A201,#REF!,3,FALSE))</f>
        <v/>
      </c>
      <c r="D201" s="20"/>
      <c r="E201" s="21"/>
      <c r="F201" s="21"/>
      <c r="G201" s="21"/>
      <c r="H201" s="21"/>
      <c r="I201" s="36"/>
      <c r="J201" s="36"/>
      <c r="K201" s="21"/>
      <c r="L201" s="21"/>
      <c r="M201" s="24">
        <f>IF(K201="",0,VLOOKUP(K201,#REF!,2,FALSE))</f>
        <v>0</v>
      </c>
      <c r="N201" s="24">
        <f>IF(L201="",0,VLOOKUP(L201,#REF!,2,FALSE))</f>
        <v>0</v>
      </c>
      <c r="O201" s="24">
        <f t="shared" si="7"/>
        <v>0</v>
      </c>
      <c r="P201" s="24">
        <f>IF(F201="Barrido","",O201)</f>
        <v>0</v>
      </c>
      <c r="Q201" s="24" t="str">
        <f>IF(F201="Barrido",O201,"")</f>
        <v/>
      </c>
      <c r="R201" s="24">
        <f>IF(I201&lt;&gt;"0",I201,"")</f>
        <v>0</v>
      </c>
      <c r="S201" s="22">
        <f>IF(J201&lt;&gt;"0",J201,"")</f>
        <v>0</v>
      </c>
      <c r="T201" s="23"/>
      <c r="U201" s="23"/>
      <c r="V201" s="23"/>
      <c r="W201" s="23"/>
      <c r="X201" s="23"/>
    </row>
    <row r="202" spans="1:24" x14ac:dyDescent="0.2">
      <c r="A202" s="18"/>
      <c r="B202" s="19" t="str">
        <f>IF(A202="","",VLOOKUP(Planilla!A202,#REF!,2,FALSE))</f>
        <v/>
      </c>
      <c r="C202" s="19" t="str">
        <f>IF(B202="","",VLOOKUP(Planilla!A202,#REF!,3,FALSE))</f>
        <v/>
      </c>
      <c r="D202" s="20"/>
      <c r="E202" s="21"/>
      <c r="F202" s="21"/>
      <c r="G202" s="21"/>
      <c r="H202" s="21"/>
      <c r="I202" s="36"/>
      <c r="J202" s="36"/>
      <c r="K202" s="21"/>
      <c r="L202" s="21"/>
      <c r="M202" s="24">
        <f>IF(K202="",0,VLOOKUP(K202,#REF!,2,FALSE))</f>
        <v>0</v>
      </c>
      <c r="N202" s="24">
        <f>IF(L202="",0,VLOOKUP(L202,#REF!,2,FALSE))</f>
        <v>0</v>
      </c>
      <c r="O202" s="24">
        <f t="shared" si="7"/>
        <v>0</v>
      </c>
      <c r="P202" s="24">
        <f>IF(F202="Barrido","",O202)</f>
        <v>0</v>
      </c>
      <c r="Q202" s="24" t="str">
        <f>IF(F202="Barrido",O202,"")</f>
        <v/>
      </c>
      <c r="R202" s="24">
        <f>IF(I202&lt;&gt;"0",I202,"")</f>
        <v>0</v>
      </c>
      <c r="S202" s="22">
        <f>IF(J202&lt;&gt;"0",J202,"")</f>
        <v>0</v>
      </c>
      <c r="T202" s="23"/>
      <c r="U202" s="23"/>
      <c r="V202" s="23"/>
      <c r="W202" s="23"/>
      <c r="X202" s="23"/>
    </row>
    <row r="203" spans="1:24" x14ac:dyDescent="0.2">
      <c r="A203" s="18"/>
      <c r="B203" s="19" t="str">
        <f>IF(A203="","",VLOOKUP(Planilla!A203,#REF!,2,FALSE))</f>
        <v/>
      </c>
      <c r="C203" s="19" t="str">
        <f>IF(B203="","",VLOOKUP(Planilla!A203,#REF!,3,FALSE))</f>
        <v/>
      </c>
      <c r="D203" s="20"/>
      <c r="E203" s="21"/>
      <c r="F203" s="21"/>
      <c r="G203" s="21"/>
      <c r="H203" s="21"/>
      <c r="I203" s="36"/>
      <c r="J203" s="36"/>
      <c r="K203" s="21"/>
      <c r="L203" s="21"/>
      <c r="M203" s="24">
        <f>IF(K203="",0,VLOOKUP(K203,#REF!,2,FALSE))</f>
        <v>0</v>
      </c>
      <c r="N203" s="24">
        <f>IF(L203="",0,VLOOKUP(L203,#REF!,2,FALSE))</f>
        <v>0</v>
      </c>
      <c r="O203" s="24">
        <f t="shared" si="7"/>
        <v>0</v>
      </c>
      <c r="P203" s="24">
        <f>IF(F203="Barrido","",O203)</f>
        <v>0</v>
      </c>
      <c r="Q203" s="24" t="str">
        <f>IF(F203="Barrido",O203,"")</f>
        <v/>
      </c>
      <c r="R203" s="24">
        <f>IF(I203&lt;&gt;"0",I203,"")</f>
        <v>0</v>
      </c>
      <c r="S203" s="22">
        <f>IF(J203&lt;&gt;"0",J203,"")</f>
        <v>0</v>
      </c>
      <c r="T203" s="23"/>
      <c r="U203" s="23"/>
      <c r="V203" s="23"/>
      <c r="W203" s="23"/>
      <c r="X203" s="23"/>
    </row>
    <row r="204" spans="1:24" x14ac:dyDescent="0.2">
      <c r="A204" s="18"/>
      <c r="B204" s="19" t="str">
        <f>IF(A204="","",VLOOKUP(Planilla!A204,#REF!,2,FALSE))</f>
        <v/>
      </c>
      <c r="C204" s="19" t="str">
        <f>IF(B204="","",VLOOKUP(Planilla!A204,#REF!,3,FALSE))</f>
        <v/>
      </c>
      <c r="D204" s="20"/>
      <c r="E204" s="21"/>
      <c r="F204" s="21"/>
      <c r="G204" s="21"/>
      <c r="H204" s="21"/>
      <c r="I204" s="36"/>
      <c r="J204" s="36"/>
      <c r="K204" s="21"/>
      <c r="L204" s="21"/>
      <c r="M204" s="24">
        <f>IF(K204="",0,VLOOKUP(K204,#REF!,2,FALSE))</f>
        <v>0</v>
      </c>
      <c r="N204" s="24">
        <f>IF(L204="",0,VLOOKUP(L204,#REF!,2,FALSE))</f>
        <v>0</v>
      </c>
      <c r="O204" s="24">
        <f t="shared" si="7"/>
        <v>0</v>
      </c>
      <c r="P204" s="24">
        <f>IF(F204="Barrido","",O204)</f>
        <v>0</v>
      </c>
      <c r="Q204" s="24" t="str">
        <f>IF(F204="Barrido",O204,"")</f>
        <v/>
      </c>
      <c r="R204" s="24">
        <f>IF(I204&lt;&gt;"0",I204,"")</f>
        <v>0</v>
      </c>
      <c r="S204" s="22">
        <f>IF(J204&lt;&gt;"0",J204,"")</f>
        <v>0</v>
      </c>
      <c r="T204" s="23"/>
      <c r="U204" s="23"/>
      <c r="V204" s="23"/>
      <c r="W204" s="23"/>
      <c r="X204" s="23"/>
    </row>
    <row r="205" spans="1:24" x14ac:dyDescent="0.2">
      <c r="A205" s="18"/>
      <c r="B205" s="19" t="str">
        <f>IF(A205="","",VLOOKUP(Planilla!A205,#REF!,2,FALSE))</f>
        <v/>
      </c>
      <c r="C205" s="19" t="str">
        <f>IF(B205="","",VLOOKUP(Planilla!A205,#REF!,3,FALSE))</f>
        <v/>
      </c>
      <c r="D205" s="20"/>
      <c r="E205" s="21"/>
      <c r="F205" s="21"/>
      <c r="G205" s="21"/>
      <c r="H205" s="21"/>
      <c r="I205" s="36"/>
      <c r="J205" s="36"/>
      <c r="K205" s="21"/>
      <c r="L205" s="21"/>
      <c r="M205" s="24">
        <f>IF(K205="",0,VLOOKUP(K205,#REF!,2,FALSE))</f>
        <v>0</v>
      </c>
      <c r="N205" s="24">
        <f>IF(L205="",0,VLOOKUP(L205,#REF!,2,FALSE))</f>
        <v>0</v>
      </c>
      <c r="O205" s="24">
        <f t="shared" si="7"/>
        <v>0</v>
      </c>
      <c r="P205" s="24">
        <f>IF(F205="Barrido","",O205)</f>
        <v>0</v>
      </c>
      <c r="Q205" s="24" t="str">
        <f>IF(F205="Barrido",O205,"")</f>
        <v/>
      </c>
      <c r="R205" s="24">
        <f>IF(I205&lt;&gt;"0",I205,"")</f>
        <v>0</v>
      </c>
      <c r="S205" s="22">
        <f>IF(J205&lt;&gt;"0",J205,"")</f>
        <v>0</v>
      </c>
      <c r="T205" s="23"/>
      <c r="U205" s="23"/>
      <c r="V205" s="23"/>
      <c r="W205" s="23"/>
      <c r="X205" s="23"/>
    </row>
    <row r="206" spans="1:24" x14ac:dyDescent="0.2">
      <c r="A206" s="18"/>
      <c r="B206" s="19" t="str">
        <f>IF(A206="","",VLOOKUP(Planilla!A206,#REF!,2,FALSE))</f>
        <v/>
      </c>
      <c r="C206" s="19" t="str">
        <f>IF(B206="","",VLOOKUP(Planilla!A206,#REF!,3,FALSE))</f>
        <v/>
      </c>
      <c r="D206" s="20"/>
      <c r="E206" s="21"/>
      <c r="F206" s="21"/>
      <c r="G206" s="21"/>
      <c r="H206" s="21"/>
      <c r="I206" s="36"/>
      <c r="J206" s="36"/>
      <c r="K206" s="21"/>
      <c r="L206" s="21"/>
      <c r="M206" s="24">
        <f>IF(K206="",0,VLOOKUP(K206,#REF!,2,FALSE))</f>
        <v>0</v>
      </c>
      <c r="N206" s="24">
        <f>IF(L206="",0,VLOOKUP(L206,#REF!,2,FALSE))</f>
        <v>0</v>
      </c>
      <c r="O206" s="24">
        <f t="shared" si="7"/>
        <v>0</v>
      </c>
      <c r="P206" s="24">
        <f>IF(F206="Barrido","",O206)</f>
        <v>0</v>
      </c>
      <c r="Q206" s="24" t="str">
        <f>IF(F206="Barrido",O206,"")</f>
        <v/>
      </c>
      <c r="R206" s="24">
        <f>IF(I206&lt;&gt;"0",I206,"")</f>
        <v>0</v>
      </c>
      <c r="S206" s="22">
        <f>IF(J206&lt;&gt;"0",J206,"")</f>
        <v>0</v>
      </c>
      <c r="T206" s="23"/>
      <c r="U206" s="23"/>
      <c r="V206" s="23"/>
      <c r="W206" s="23"/>
      <c r="X206" s="23"/>
    </row>
    <row r="207" spans="1:24" x14ac:dyDescent="0.2">
      <c r="A207" s="18"/>
      <c r="B207" s="19" t="str">
        <f>IF(A207="","",VLOOKUP(Planilla!A207,#REF!,2,FALSE))</f>
        <v/>
      </c>
      <c r="C207" s="19" t="str">
        <f>IF(B207="","",VLOOKUP(Planilla!A207,#REF!,3,FALSE))</f>
        <v/>
      </c>
      <c r="D207" s="20"/>
      <c r="E207" s="21"/>
      <c r="F207" s="21"/>
      <c r="G207" s="21"/>
      <c r="H207" s="21"/>
      <c r="I207" s="36"/>
      <c r="J207" s="36"/>
      <c r="K207" s="21"/>
      <c r="L207" s="21"/>
      <c r="M207" s="24">
        <f>IF(K207="",0,VLOOKUP(K207,#REF!,2,FALSE))</f>
        <v>0</v>
      </c>
      <c r="N207" s="24">
        <f>IF(L207="",0,VLOOKUP(L207,#REF!,2,FALSE))</f>
        <v>0</v>
      </c>
      <c r="O207" s="24">
        <f t="shared" ref="O207:O270" si="8">M207+N207</f>
        <v>0</v>
      </c>
      <c r="P207" s="24">
        <f>IF(F207="Barrido","",O207)</f>
        <v>0</v>
      </c>
      <c r="Q207" s="24" t="str">
        <f>IF(F207="Barrido",O207,"")</f>
        <v/>
      </c>
      <c r="R207" s="24">
        <f>IF(I207&lt;&gt;"0",I207,"")</f>
        <v>0</v>
      </c>
      <c r="S207" s="22">
        <f>IF(J207&lt;&gt;"0",J207,"")</f>
        <v>0</v>
      </c>
      <c r="T207" s="23"/>
      <c r="U207" s="23"/>
      <c r="V207" s="23"/>
      <c r="W207" s="23"/>
      <c r="X207" s="23"/>
    </row>
    <row r="208" spans="1:24" x14ac:dyDescent="0.2">
      <c r="A208" s="18"/>
      <c r="B208" s="19" t="str">
        <f>IF(A208="","",VLOOKUP(Planilla!A208,#REF!,2,FALSE))</f>
        <v/>
      </c>
      <c r="C208" s="19" t="str">
        <f>IF(B208="","",VLOOKUP(Planilla!A208,#REF!,3,FALSE))</f>
        <v/>
      </c>
      <c r="D208" s="20"/>
      <c r="E208" s="21"/>
      <c r="F208" s="21"/>
      <c r="G208" s="21"/>
      <c r="H208" s="21"/>
      <c r="I208" s="36"/>
      <c r="J208" s="36"/>
      <c r="K208" s="21"/>
      <c r="L208" s="21"/>
      <c r="M208" s="24">
        <f>IF(K208="",0,VLOOKUP(K208,#REF!,2,FALSE))</f>
        <v>0</v>
      </c>
      <c r="N208" s="24">
        <f>IF(L208="",0,VLOOKUP(L208,#REF!,2,FALSE))</f>
        <v>0</v>
      </c>
      <c r="O208" s="24">
        <f t="shared" si="8"/>
        <v>0</v>
      </c>
      <c r="P208" s="24">
        <f>IF(F208="Barrido","",O208)</f>
        <v>0</v>
      </c>
      <c r="Q208" s="24" t="str">
        <f>IF(F208="Barrido",O208,"")</f>
        <v/>
      </c>
      <c r="R208" s="24">
        <f>IF(I208&lt;&gt;"0",I208,"")</f>
        <v>0</v>
      </c>
      <c r="S208" s="22">
        <f>IF(J208&lt;&gt;"0",J208,"")</f>
        <v>0</v>
      </c>
      <c r="T208" s="23"/>
      <c r="U208" s="23"/>
      <c r="V208" s="23"/>
      <c r="W208" s="23"/>
      <c r="X208" s="23"/>
    </row>
    <row r="209" spans="1:24" x14ac:dyDescent="0.2">
      <c r="A209" s="18"/>
      <c r="B209" s="19" t="str">
        <f>IF(A209="","",VLOOKUP(Planilla!A209,#REF!,2,FALSE))</f>
        <v/>
      </c>
      <c r="C209" s="19" t="str">
        <f>IF(B209="","",VLOOKUP(Planilla!A209,#REF!,3,FALSE))</f>
        <v/>
      </c>
      <c r="D209" s="20"/>
      <c r="E209" s="21"/>
      <c r="F209" s="21"/>
      <c r="G209" s="21"/>
      <c r="H209" s="21"/>
      <c r="I209" s="36"/>
      <c r="J209" s="36"/>
      <c r="K209" s="21"/>
      <c r="L209" s="21"/>
      <c r="M209" s="24">
        <f>IF(K209="",0,VLOOKUP(K209,#REF!,2,FALSE))</f>
        <v>0</v>
      </c>
      <c r="N209" s="24">
        <f>IF(L209="",0,VLOOKUP(L209,#REF!,2,FALSE))</f>
        <v>0</v>
      </c>
      <c r="O209" s="24">
        <f t="shared" si="8"/>
        <v>0</v>
      </c>
      <c r="P209" s="24">
        <f>IF(F209="Barrido","",O209)</f>
        <v>0</v>
      </c>
      <c r="Q209" s="24" t="str">
        <f>IF(F209="Barrido",O209,"")</f>
        <v/>
      </c>
      <c r="R209" s="24">
        <f>IF(I209&lt;&gt;"0",I209,"")</f>
        <v>0</v>
      </c>
      <c r="S209" s="22">
        <f>IF(J209&lt;&gt;"0",J209,"")</f>
        <v>0</v>
      </c>
      <c r="T209" s="23"/>
      <c r="U209" s="23"/>
      <c r="V209" s="23"/>
      <c r="W209" s="23"/>
      <c r="X209" s="23"/>
    </row>
    <row r="210" spans="1:24" x14ac:dyDescent="0.2">
      <c r="A210" s="18"/>
      <c r="B210" s="19" t="str">
        <f>IF(A210="","",VLOOKUP(Planilla!A210,#REF!,2,FALSE))</f>
        <v/>
      </c>
      <c r="C210" s="19" t="str">
        <f>IF(B210="","",VLOOKUP(Planilla!A210,#REF!,3,FALSE))</f>
        <v/>
      </c>
      <c r="D210" s="20"/>
      <c r="E210" s="21"/>
      <c r="F210" s="21"/>
      <c r="G210" s="21"/>
      <c r="H210" s="21"/>
      <c r="I210" s="36"/>
      <c r="J210" s="36"/>
      <c r="K210" s="21"/>
      <c r="L210" s="21"/>
      <c r="M210" s="24">
        <f>IF(K210="",0,VLOOKUP(K210,#REF!,2,FALSE))</f>
        <v>0</v>
      </c>
      <c r="N210" s="24">
        <f>IF(L210="",0,VLOOKUP(L210,#REF!,2,FALSE))</f>
        <v>0</v>
      </c>
      <c r="O210" s="24">
        <f t="shared" si="8"/>
        <v>0</v>
      </c>
      <c r="P210" s="24">
        <f>IF(F210="Barrido","",O210)</f>
        <v>0</v>
      </c>
      <c r="Q210" s="24" t="str">
        <f>IF(F210="Barrido",O210,"")</f>
        <v/>
      </c>
      <c r="R210" s="24">
        <f>IF(I210&lt;&gt;"0",I210,"")</f>
        <v>0</v>
      </c>
      <c r="S210" s="22">
        <f>IF(J210&lt;&gt;"0",J210,"")</f>
        <v>0</v>
      </c>
      <c r="T210" s="23"/>
      <c r="U210" s="23"/>
      <c r="V210" s="23"/>
      <c r="W210" s="23"/>
      <c r="X210" s="23"/>
    </row>
    <row r="211" spans="1:24" x14ac:dyDescent="0.2">
      <c r="A211" s="18"/>
      <c r="B211" s="19" t="str">
        <f>IF(A211="","",VLOOKUP(Planilla!A211,#REF!,2,FALSE))</f>
        <v/>
      </c>
      <c r="C211" s="19" t="str">
        <f>IF(B211="","",VLOOKUP(Planilla!A211,#REF!,3,FALSE))</f>
        <v/>
      </c>
      <c r="D211" s="20"/>
      <c r="E211" s="21"/>
      <c r="F211" s="21"/>
      <c r="G211" s="21"/>
      <c r="H211" s="21"/>
      <c r="I211" s="36"/>
      <c r="J211" s="36"/>
      <c r="K211" s="21"/>
      <c r="L211" s="21"/>
      <c r="M211" s="24">
        <f>IF(K211="",0,VLOOKUP(K211,#REF!,2,FALSE))</f>
        <v>0</v>
      </c>
      <c r="N211" s="24">
        <f>IF(L211="",0,VLOOKUP(L211,#REF!,2,FALSE))</f>
        <v>0</v>
      </c>
      <c r="O211" s="24">
        <f t="shared" si="8"/>
        <v>0</v>
      </c>
      <c r="P211" s="24">
        <f>IF(F211="Barrido","",O211)</f>
        <v>0</v>
      </c>
      <c r="Q211" s="24" t="str">
        <f>IF(F211="Barrido",O211,"")</f>
        <v/>
      </c>
      <c r="R211" s="24">
        <f>IF(I211&lt;&gt;"0",I211,"")</f>
        <v>0</v>
      </c>
      <c r="S211" s="22">
        <f>IF(J211&lt;&gt;"0",J211,"")</f>
        <v>0</v>
      </c>
      <c r="T211" s="23"/>
      <c r="U211" s="23"/>
      <c r="V211" s="23"/>
      <c r="W211" s="23"/>
      <c r="X211" s="23"/>
    </row>
    <row r="212" spans="1:24" x14ac:dyDescent="0.2">
      <c r="A212" s="18"/>
      <c r="B212" s="19" t="str">
        <f>IF(A212="","",VLOOKUP(Planilla!A212,#REF!,2,FALSE))</f>
        <v/>
      </c>
      <c r="C212" s="19" t="str">
        <f>IF(B212="","",VLOOKUP(Planilla!A212,#REF!,3,FALSE))</f>
        <v/>
      </c>
      <c r="D212" s="20"/>
      <c r="E212" s="21"/>
      <c r="F212" s="21"/>
      <c r="G212" s="21"/>
      <c r="H212" s="21"/>
      <c r="I212" s="36"/>
      <c r="J212" s="36"/>
      <c r="K212" s="21"/>
      <c r="L212" s="21"/>
      <c r="M212" s="24">
        <f>IF(K212="",0,VLOOKUP(K212,#REF!,2,FALSE))</f>
        <v>0</v>
      </c>
      <c r="N212" s="24">
        <f>IF(L212="",0,VLOOKUP(L212,#REF!,2,FALSE))</f>
        <v>0</v>
      </c>
      <c r="O212" s="24">
        <f t="shared" si="8"/>
        <v>0</v>
      </c>
      <c r="P212" s="24">
        <f>IF(F212="Barrido","",O212)</f>
        <v>0</v>
      </c>
      <c r="Q212" s="24" t="str">
        <f>IF(F212="Barrido",O212,"")</f>
        <v/>
      </c>
      <c r="R212" s="24">
        <f>IF(I212&lt;&gt;"0",I212,"")</f>
        <v>0</v>
      </c>
      <c r="S212" s="22">
        <f>IF(J212&lt;&gt;"0",J212,"")</f>
        <v>0</v>
      </c>
      <c r="T212" s="23"/>
      <c r="U212" s="23"/>
      <c r="V212" s="23"/>
      <c r="W212" s="23"/>
      <c r="X212" s="23"/>
    </row>
    <row r="213" spans="1:24" x14ac:dyDescent="0.2">
      <c r="A213" s="18"/>
      <c r="B213" s="19" t="str">
        <f>IF(A213="","",VLOOKUP(Planilla!A213,#REF!,2,FALSE))</f>
        <v/>
      </c>
      <c r="C213" s="19" t="str">
        <f>IF(B213="","",VLOOKUP(Planilla!A213,#REF!,3,FALSE))</f>
        <v/>
      </c>
      <c r="D213" s="20"/>
      <c r="E213" s="21"/>
      <c r="F213" s="21"/>
      <c r="G213" s="21"/>
      <c r="H213" s="21"/>
      <c r="I213" s="36"/>
      <c r="J213" s="36"/>
      <c r="K213" s="21"/>
      <c r="L213" s="21"/>
      <c r="M213" s="24">
        <f>IF(K213="",0,VLOOKUP(K213,#REF!,2,FALSE))</f>
        <v>0</v>
      </c>
      <c r="N213" s="24">
        <f>IF(L213="",0,VLOOKUP(L213,#REF!,2,FALSE))</f>
        <v>0</v>
      </c>
      <c r="O213" s="24">
        <f t="shared" si="8"/>
        <v>0</v>
      </c>
      <c r="P213" s="24">
        <f>IF(F213="Barrido","",O213)</f>
        <v>0</v>
      </c>
      <c r="Q213" s="24" t="str">
        <f>IF(F213="Barrido",O213,"")</f>
        <v/>
      </c>
      <c r="R213" s="24">
        <f>IF(I213&lt;&gt;"0",I213,"")</f>
        <v>0</v>
      </c>
      <c r="S213" s="22">
        <f>IF(J213&lt;&gt;"0",J213,"")</f>
        <v>0</v>
      </c>
      <c r="T213" s="23"/>
      <c r="U213" s="23"/>
      <c r="V213" s="23"/>
      <c r="W213" s="23"/>
      <c r="X213" s="23"/>
    </row>
    <row r="214" spans="1:24" x14ac:dyDescent="0.2">
      <c r="A214" s="18"/>
      <c r="B214" s="19" t="str">
        <f>IF(A214="","",VLOOKUP(Planilla!A214,#REF!,2,FALSE))</f>
        <v/>
      </c>
      <c r="C214" s="19" t="str">
        <f>IF(B214="","",VLOOKUP(Planilla!A214,#REF!,3,FALSE))</f>
        <v/>
      </c>
      <c r="D214" s="20"/>
      <c r="E214" s="21"/>
      <c r="F214" s="21"/>
      <c r="G214" s="21"/>
      <c r="H214" s="21"/>
      <c r="I214" s="36"/>
      <c r="J214" s="36"/>
      <c r="K214" s="21"/>
      <c r="L214" s="21"/>
      <c r="M214" s="24">
        <f>IF(K214="",0,VLOOKUP(K214,#REF!,2,FALSE))</f>
        <v>0</v>
      </c>
      <c r="N214" s="24">
        <f>IF(L214="",0,VLOOKUP(L214,#REF!,2,FALSE))</f>
        <v>0</v>
      </c>
      <c r="O214" s="24">
        <f t="shared" si="8"/>
        <v>0</v>
      </c>
      <c r="P214" s="24">
        <f>IF(F214="Barrido","",O214)</f>
        <v>0</v>
      </c>
      <c r="Q214" s="24" t="str">
        <f>IF(F214="Barrido",O214,"")</f>
        <v/>
      </c>
      <c r="R214" s="24">
        <f>IF(I214&lt;&gt;"0",I214,"")</f>
        <v>0</v>
      </c>
      <c r="S214" s="22">
        <f>IF(J214&lt;&gt;"0",J214,"")</f>
        <v>0</v>
      </c>
      <c r="T214" s="23"/>
      <c r="U214" s="23"/>
      <c r="V214" s="23"/>
      <c r="W214" s="23"/>
      <c r="X214" s="23"/>
    </row>
    <row r="215" spans="1:24" x14ac:dyDescent="0.2">
      <c r="A215" s="18"/>
      <c r="B215" s="19" t="str">
        <f>IF(A215="","",VLOOKUP(Planilla!A215,#REF!,2,FALSE))</f>
        <v/>
      </c>
      <c r="C215" s="19" t="str">
        <f>IF(B215="","",VLOOKUP(Planilla!A215,#REF!,3,FALSE))</f>
        <v/>
      </c>
      <c r="D215" s="20"/>
      <c r="E215" s="21"/>
      <c r="F215" s="21"/>
      <c r="G215" s="21"/>
      <c r="H215" s="21"/>
      <c r="I215" s="36"/>
      <c r="J215" s="36"/>
      <c r="K215" s="21"/>
      <c r="L215" s="21"/>
      <c r="M215" s="24">
        <f>IF(K215="",0,VLOOKUP(K215,#REF!,2,FALSE))</f>
        <v>0</v>
      </c>
      <c r="N215" s="24">
        <f>IF(L215="",0,VLOOKUP(L215,#REF!,2,FALSE))</f>
        <v>0</v>
      </c>
      <c r="O215" s="24">
        <f t="shared" si="8"/>
        <v>0</v>
      </c>
      <c r="P215" s="24">
        <f>IF(F215="Barrido","",O215)</f>
        <v>0</v>
      </c>
      <c r="Q215" s="24" t="str">
        <f>IF(F215="Barrido",O215,"")</f>
        <v/>
      </c>
      <c r="R215" s="24">
        <f>IF(I215&lt;&gt;"0",I215,"")</f>
        <v>0</v>
      </c>
      <c r="S215" s="22">
        <f>IF(J215&lt;&gt;"0",J215,"")</f>
        <v>0</v>
      </c>
      <c r="T215" s="23"/>
      <c r="U215" s="23"/>
      <c r="V215" s="23"/>
      <c r="W215" s="23"/>
      <c r="X215" s="23"/>
    </row>
    <row r="216" spans="1:24" x14ac:dyDescent="0.2">
      <c r="A216" s="18"/>
      <c r="B216" s="19" t="str">
        <f>IF(A216="","",VLOOKUP(Planilla!A216,#REF!,2,FALSE))</f>
        <v/>
      </c>
      <c r="C216" s="19" t="str">
        <f>IF(B216="","",VLOOKUP(Planilla!A216,#REF!,3,FALSE))</f>
        <v/>
      </c>
      <c r="D216" s="20"/>
      <c r="E216" s="21"/>
      <c r="F216" s="21"/>
      <c r="G216" s="21"/>
      <c r="H216" s="21"/>
      <c r="I216" s="36"/>
      <c r="J216" s="36"/>
      <c r="K216" s="21"/>
      <c r="L216" s="21"/>
      <c r="M216" s="24">
        <f>IF(K216="",0,VLOOKUP(K216,#REF!,2,FALSE))</f>
        <v>0</v>
      </c>
      <c r="N216" s="24">
        <f>IF(L216="",0,VLOOKUP(L216,#REF!,2,FALSE))</f>
        <v>0</v>
      </c>
      <c r="O216" s="24">
        <f t="shared" si="8"/>
        <v>0</v>
      </c>
      <c r="P216" s="24">
        <f>IF(F216="Barrido","",O216)</f>
        <v>0</v>
      </c>
      <c r="Q216" s="24" t="str">
        <f>IF(F216="Barrido",O216,"")</f>
        <v/>
      </c>
      <c r="R216" s="24">
        <f>IF(I216&lt;&gt;"0",I216,"")</f>
        <v>0</v>
      </c>
      <c r="S216" s="22">
        <f>IF(J216&lt;&gt;"0",J216,"")</f>
        <v>0</v>
      </c>
      <c r="T216" s="23"/>
      <c r="U216" s="23"/>
      <c r="V216" s="23"/>
      <c r="W216" s="23"/>
      <c r="X216" s="23"/>
    </row>
    <row r="217" spans="1:24" x14ac:dyDescent="0.2">
      <c r="A217" s="18"/>
      <c r="B217" s="19" t="str">
        <f>IF(A217="","",VLOOKUP(Planilla!A217,#REF!,2,FALSE))</f>
        <v/>
      </c>
      <c r="C217" s="19" t="str">
        <f>IF(B217="","",VLOOKUP(Planilla!A217,#REF!,3,FALSE))</f>
        <v/>
      </c>
      <c r="D217" s="20"/>
      <c r="E217" s="21"/>
      <c r="F217" s="21"/>
      <c r="G217" s="21"/>
      <c r="H217" s="21"/>
      <c r="I217" s="36"/>
      <c r="J217" s="36"/>
      <c r="K217" s="21"/>
      <c r="L217" s="21"/>
      <c r="M217" s="24">
        <f>IF(K217="",0,VLOOKUP(K217,#REF!,2,FALSE))</f>
        <v>0</v>
      </c>
      <c r="N217" s="24">
        <f>IF(L217="",0,VLOOKUP(L217,#REF!,2,FALSE))</f>
        <v>0</v>
      </c>
      <c r="O217" s="24">
        <f t="shared" si="8"/>
        <v>0</v>
      </c>
      <c r="P217" s="24">
        <f>IF(F217="Barrido","",O217)</f>
        <v>0</v>
      </c>
      <c r="Q217" s="24" t="str">
        <f>IF(F217="Barrido",O217,"")</f>
        <v/>
      </c>
      <c r="R217" s="24">
        <f>IF(I217&lt;&gt;"0",I217,"")</f>
        <v>0</v>
      </c>
      <c r="S217" s="22">
        <f>IF(J217&lt;&gt;"0",J217,"")</f>
        <v>0</v>
      </c>
      <c r="T217" s="23"/>
      <c r="U217" s="23"/>
      <c r="V217" s="23"/>
      <c r="W217" s="23"/>
      <c r="X217" s="23"/>
    </row>
    <row r="218" spans="1:24" x14ac:dyDescent="0.2">
      <c r="A218" s="18"/>
      <c r="B218" s="19" t="str">
        <f>IF(A218="","",VLOOKUP(Planilla!A218,#REF!,2,FALSE))</f>
        <v/>
      </c>
      <c r="C218" s="19" t="str">
        <f>IF(B218="","",VLOOKUP(Planilla!A218,#REF!,3,FALSE))</f>
        <v/>
      </c>
      <c r="D218" s="20"/>
      <c r="E218" s="21"/>
      <c r="F218" s="21"/>
      <c r="G218" s="21"/>
      <c r="H218" s="21"/>
      <c r="I218" s="36"/>
      <c r="J218" s="36"/>
      <c r="K218" s="21"/>
      <c r="L218" s="21"/>
      <c r="M218" s="24">
        <f>IF(K218="",0,VLOOKUP(K218,#REF!,2,FALSE))</f>
        <v>0</v>
      </c>
      <c r="N218" s="24">
        <f>IF(L218="",0,VLOOKUP(L218,#REF!,2,FALSE))</f>
        <v>0</v>
      </c>
      <c r="O218" s="24">
        <f t="shared" si="8"/>
        <v>0</v>
      </c>
      <c r="P218" s="24">
        <f>IF(F218="Barrido","",O218)</f>
        <v>0</v>
      </c>
      <c r="Q218" s="24" t="str">
        <f>IF(F218="Barrido",O218,"")</f>
        <v/>
      </c>
      <c r="R218" s="24">
        <f>IF(I218&lt;&gt;"0",I218,"")</f>
        <v>0</v>
      </c>
      <c r="S218" s="22">
        <f>IF(J218&lt;&gt;"0",J218,"")</f>
        <v>0</v>
      </c>
      <c r="T218" s="23"/>
      <c r="U218" s="23"/>
      <c r="V218" s="23"/>
      <c r="W218" s="23"/>
      <c r="X218" s="23"/>
    </row>
    <row r="219" spans="1:24" x14ac:dyDescent="0.2">
      <c r="A219" s="18"/>
      <c r="B219" s="19" t="str">
        <f>IF(A219="","",VLOOKUP(Planilla!A219,#REF!,2,FALSE))</f>
        <v/>
      </c>
      <c r="C219" s="19" t="str">
        <f>IF(B219="","",VLOOKUP(Planilla!A219,#REF!,3,FALSE))</f>
        <v/>
      </c>
      <c r="D219" s="20"/>
      <c r="E219" s="21"/>
      <c r="F219" s="21"/>
      <c r="G219" s="21"/>
      <c r="H219" s="21"/>
      <c r="I219" s="36"/>
      <c r="J219" s="36"/>
      <c r="K219" s="21"/>
      <c r="L219" s="21"/>
      <c r="M219" s="24">
        <f>IF(K219="",0,VLOOKUP(K219,#REF!,2,FALSE))</f>
        <v>0</v>
      </c>
      <c r="N219" s="24">
        <f>IF(L219="",0,VLOOKUP(L219,#REF!,2,FALSE))</f>
        <v>0</v>
      </c>
      <c r="O219" s="24">
        <f t="shared" si="8"/>
        <v>0</v>
      </c>
      <c r="P219" s="24">
        <f>IF(F219="Barrido","",O219)</f>
        <v>0</v>
      </c>
      <c r="Q219" s="24" t="str">
        <f>IF(F219="Barrido",O219,"")</f>
        <v/>
      </c>
      <c r="R219" s="24">
        <f>IF(I219&lt;&gt;"0",I219,"")</f>
        <v>0</v>
      </c>
      <c r="S219" s="22">
        <f>IF(J219&lt;&gt;"0",J219,"")</f>
        <v>0</v>
      </c>
      <c r="T219" s="23"/>
      <c r="U219" s="23"/>
      <c r="V219" s="23"/>
      <c r="W219" s="23"/>
      <c r="X219" s="23"/>
    </row>
    <row r="220" spans="1:24" x14ac:dyDescent="0.2">
      <c r="A220" s="18"/>
      <c r="B220" s="19" t="str">
        <f>IF(A220="","",VLOOKUP(Planilla!A220,#REF!,2,FALSE))</f>
        <v/>
      </c>
      <c r="C220" s="19" t="str">
        <f>IF(B220="","",VLOOKUP(Planilla!A220,#REF!,3,FALSE))</f>
        <v/>
      </c>
      <c r="D220" s="20"/>
      <c r="E220" s="21"/>
      <c r="F220" s="21"/>
      <c r="G220" s="21"/>
      <c r="H220" s="21"/>
      <c r="I220" s="36"/>
      <c r="J220" s="36"/>
      <c r="K220" s="21"/>
      <c r="L220" s="21"/>
      <c r="M220" s="24">
        <f>IF(K220="",0,VLOOKUP(K220,#REF!,2,FALSE))</f>
        <v>0</v>
      </c>
      <c r="N220" s="24">
        <f>IF(L220="",0,VLOOKUP(L220,#REF!,2,FALSE))</f>
        <v>0</v>
      </c>
      <c r="O220" s="24">
        <f t="shared" si="8"/>
        <v>0</v>
      </c>
      <c r="P220" s="24">
        <f>IF(F220="Barrido","",O220)</f>
        <v>0</v>
      </c>
      <c r="Q220" s="24" t="str">
        <f>IF(F220="Barrido",O220,"")</f>
        <v/>
      </c>
      <c r="R220" s="24">
        <f>IF(I220&lt;&gt;"0",I220,"")</f>
        <v>0</v>
      </c>
      <c r="S220" s="22">
        <f>IF(J220&lt;&gt;"0",J220,"")</f>
        <v>0</v>
      </c>
      <c r="T220" s="23"/>
      <c r="U220" s="23"/>
      <c r="V220" s="23"/>
      <c r="W220" s="23"/>
      <c r="X220" s="23"/>
    </row>
    <row r="221" spans="1:24" x14ac:dyDescent="0.2">
      <c r="A221" s="18"/>
      <c r="B221" s="19" t="str">
        <f>IF(A221="","",VLOOKUP(Planilla!A221,#REF!,2,FALSE))</f>
        <v/>
      </c>
      <c r="C221" s="19" t="str">
        <f>IF(B221="","",VLOOKUP(Planilla!A221,#REF!,3,FALSE))</f>
        <v/>
      </c>
      <c r="D221" s="20"/>
      <c r="E221" s="21"/>
      <c r="F221" s="21"/>
      <c r="G221" s="21"/>
      <c r="H221" s="21"/>
      <c r="I221" s="36"/>
      <c r="J221" s="36"/>
      <c r="K221" s="21"/>
      <c r="L221" s="21"/>
      <c r="M221" s="24">
        <f>IF(K221="",0,VLOOKUP(K221,#REF!,2,FALSE))</f>
        <v>0</v>
      </c>
      <c r="N221" s="24">
        <f>IF(L221="",0,VLOOKUP(L221,#REF!,2,FALSE))</f>
        <v>0</v>
      </c>
      <c r="O221" s="24">
        <f t="shared" si="8"/>
        <v>0</v>
      </c>
      <c r="P221" s="24">
        <f>IF(F221="Barrido","",O221)</f>
        <v>0</v>
      </c>
      <c r="Q221" s="24" t="str">
        <f>IF(F221="Barrido",O221,"")</f>
        <v/>
      </c>
      <c r="R221" s="24">
        <f>IF(I221&lt;&gt;"0",I221,"")</f>
        <v>0</v>
      </c>
      <c r="S221" s="22">
        <f>IF(J221&lt;&gt;"0",J221,"")</f>
        <v>0</v>
      </c>
      <c r="T221" s="23"/>
      <c r="U221" s="23"/>
      <c r="V221" s="23"/>
      <c r="W221" s="23"/>
      <c r="X221" s="23"/>
    </row>
    <row r="222" spans="1:24" x14ac:dyDescent="0.2">
      <c r="A222" s="18"/>
      <c r="B222" s="19" t="str">
        <f>IF(A222="","",VLOOKUP(Planilla!A222,#REF!,2,FALSE))</f>
        <v/>
      </c>
      <c r="C222" s="19" t="str">
        <f>IF(B222="","",VLOOKUP(Planilla!A222,#REF!,3,FALSE))</f>
        <v/>
      </c>
      <c r="D222" s="20"/>
      <c r="E222" s="21"/>
      <c r="F222" s="21"/>
      <c r="G222" s="21"/>
      <c r="H222" s="21"/>
      <c r="I222" s="36"/>
      <c r="J222" s="36"/>
      <c r="K222" s="21"/>
      <c r="L222" s="21"/>
      <c r="M222" s="24">
        <f>IF(K222="",0,VLOOKUP(K222,#REF!,2,FALSE))</f>
        <v>0</v>
      </c>
      <c r="N222" s="24">
        <f>IF(L222="",0,VLOOKUP(L222,#REF!,2,FALSE))</f>
        <v>0</v>
      </c>
      <c r="O222" s="24">
        <f t="shared" si="8"/>
        <v>0</v>
      </c>
      <c r="P222" s="24">
        <f>IF(F222="Barrido","",O222)</f>
        <v>0</v>
      </c>
      <c r="Q222" s="24" t="str">
        <f>IF(F222="Barrido",O222,"")</f>
        <v/>
      </c>
      <c r="R222" s="24">
        <f>IF(I222&lt;&gt;"0",I222,"")</f>
        <v>0</v>
      </c>
      <c r="S222" s="22">
        <f>IF(J222&lt;&gt;"0",J222,"")</f>
        <v>0</v>
      </c>
      <c r="T222" s="23"/>
      <c r="U222" s="23"/>
      <c r="V222" s="23"/>
      <c r="W222" s="23"/>
      <c r="X222" s="23"/>
    </row>
    <row r="223" spans="1:24" x14ac:dyDescent="0.2">
      <c r="A223" s="18"/>
      <c r="B223" s="19" t="str">
        <f>IF(A223="","",VLOOKUP(Planilla!A223,#REF!,2,FALSE))</f>
        <v/>
      </c>
      <c r="C223" s="19" t="str">
        <f>IF(B223="","",VLOOKUP(Planilla!A223,#REF!,3,FALSE))</f>
        <v/>
      </c>
      <c r="D223" s="20"/>
      <c r="E223" s="21"/>
      <c r="F223" s="21"/>
      <c r="G223" s="21"/>
      <c r="H223" s="21"/>
      <c r="I223" s="36"/>
      <c r="J223" s="36"/>
      <c r="K223" s="21"/>
      <c r="L223" s="21"/>
      <c r="M223" s="24">
        <f>IF(K223="",0,VLOOKUP(K223,#REF!,2,FALSE))</f>
        <v>0</v>
      </c>
      <c r="N223" s="24">
        <f>IF(L223="",0,VLOOKUP(L223,#REF!,2,FALSE))</f>
        <v>0</v>
      </c>
      <c r="O223" s="24">
        <f t="shared" si="8"/>
        <v>0</v>
      </c>
      <c r="P223" s="24">
        <f>IF(F223="Barrido","",O223)</f>
        <v>0</v>
      </c>
      <c r="Q223" s="24" t="str">
        <f>IF(F223="Barrido",O223,"")</f>
        <v/>
      </c>
      <c r="R223" s="24">
        <f>IF(I223&lt;&gt;"0",I223,"")</f>
        <v>0</v>
      </c>
      <c r="S223" s="22">
        <f>IF(J223&lt;&gt;"0",J223,"")</f>
        <v>0</v>
      </c>
      <c r="T223" s="23"/>
      <c r="U223" s="23"/>
      <c r="V223" s="23"/>
      <c r="W223" s="23"/>
      <c r="X223" s="23"/>
    </row>
    <row r="224" spans="1:24" x14ac:dyDescent="0.2">
      <c r="A224" s="18"/>
      <c r="B224" s="19" t="str">
        <f>IF(A224="","",VLOOKUP(Planilla!A224,#REF!,2,FALSE))</f>
        <v/>
      </c>
      <c r="C224" s="19" t="str">
        <f>IF(B224="","",VLOOKUP(Planilla!A224,#REF!,3,FALSE))</f>
        <v/>
      </c>
      <c r="D224" s="20"/>
      <c r="E224" s="21"/>
      <c r="F224" s="21"/>
      <c r="G224" s="21"/>
      <c r="H224" s="21"/>
      <c r="I224" s="36"/>
      <c r="J224" s="36"/>
      <c r="K224" s="21"/>
      <c r="L224" s="21"/>
      <c r="M224" s="24">
        <f>IF(K224="",0,VLOOKUP(K224,#REF!,2,FALSE))</f>
        <v>0</v>
      </c>
      <c r="N224" s="24">
        <f>IF(L224="",0,VLOOKUP(L224,#REF!,2,FALSE))</f>
        <v>0</v>
      </c>
      <c r="O224" s="24">
        <f t="shared" si="8"/>
        <v>0</v>
      </c>
      <c r="P224" s="24">
        <f>IF(F224="Barrido","",O224)</f>
        <v>0</v>
      </c>
      <c r="Q224" s="24" t="str">
        <f>IF(F224="Barrido",O224,"")</f>
        <v/>
      </c>
      <c r="R224" s="24">
        <f>IF(I224&lt;&gt;"0",I224,"")</f>
        <v>0</v>
      </c>
      <c r="S224" s="22">
        <f>IF(J224&lt;&gt;"0",J224,"")</f>
        <v>0</v>
      </c>
      <c r="T224" s="23"/>
      <c r="U224" s="23"/>
      <c r="V224" s="23"/>
      <c r="W224" s="23"/>
      <c r="X224" s="23"/>
    </row>
    <row r="225" spans="1:24" x14ac:dyDescent="0.2">
      <c r="A225" s="18"/>
      <c r="B225" s="19" t="str">
        <f>IF(A225="","",VLOOKUP(Planilla!A225,#REF!,2,FALSE))</f>
        <v/>
      </c>
      <c r="C225" s="19" t="str">
        <f>IF(B225="","",VLOOKUP(Planilla!A225,#REF!,3,FALSE))</f>
        <v/>
      </c>
      <c r="D225" s="20"/>
      <c r="E225" s="21"/>
      <c r="F225" s="21"/>
      <c r="G225" s="21"/>
      <c r="H225" s="21"/>
      <c r="I225" s="36"/>
      <c r="J225" s="36"/>
      <c r="K225" s="21"/>
      <c r="L225" s="21"/>
      <c r="M225" s="24">
        <f>IF(K225="",0,VLOOKUP(K225,#REF!,2,FALSE))</f>
        <v>0</v>
      </c>
      <c r="N225" s="24">
        <f>IF(L225="",0,VLOOKUP(L225,#REF!,2,FALSE))</f>
        <v>0</v>
      </c>
      <c r="O225" s="24">
        <f t="shared" si="8"/>
        <v>0</v>
      </c>
      <c r="P225" s="24">
        <f>IF(F225="Barrido","",O225)</f>
        <v>0</v>
      </c>
      <c r="Q225" s="24" t="str">
        <f>IF(F225="Barrido",O225,"")</f>
        <v/>
      </c>
      <c r="R225" s="24">
        <f>IF(I225&lt;&gt;"0",I225,"")</f>
        <v>0</v>
      </c>
      <c r="S225" s="22">
        <f>IF(J225&lt;&gt;"0",J225,"")</f>
        <v>0</v>
      </c>
      <c r="T225" s="23"/>
      <c r="U225" s="23"/>
      <c r="V225" s="23"/>
      <c r="W225" s="23"/>
      <c r="X225" s="23"/>
    </row>
    <row r="226" spans="1:24" x14ac:dyDescent="0.2">
      <c r="A226" s="18"/>
      <c r="B226" s="19" t="str">
        <f>IF(A226="","",VLOOKUP(Planilla!A226,#REF!,2,FALSE))</f>
        <v/>
      </c>
      <c r="C226" s="19" t="str">
        <f>IF(B226="","",VLOOKUP(Planilla!A226,#REF!,3,FALSE))</f>
        <v/>
      </c>
      <c r="D226" s="20"/>
      <c r="E226" s="21"/>
      <c r="F226" s="21"/>
      <c r="G226" s="21"/>
      <c r="H226" s="21"/>
      <c r="I226" s="36"/>
      <c r="J226" s="36"/>
      <c r="K226" s="21"/>
      <c r="L226" s="21"/>
      <c r="M226" s="24">
        <f>IF(K226="",0,VLOOKUP(K226,#REF!,2,FALSE))</f>
        <v>0</v>
      </c>
      <c r="N226" s="24">
        <f>IF(L226="",0,VLOOKUP(L226,#REF!,2,FALSE))</f>
        <v>0</v>
      </c>
      <c r="O226" s="24">
        <f t="shared" si="8"/>
        <v>0</v>
      </c>
      <c r="P226" s="24">
        <f>IF(F226="Barrido","",O226)</f>
        <v>0</v>
      </c>
      <c r="Q226" s="24" t="str">
        <f>IF(F226="Barrido",O226,"")</f>
        <v/>
      </c>
      <c r="R226" s="24">
        <f>IF(I226&lt;&gt;"0",I226,"")</f>
        <v>0</v>
      </c>
      <c r="S226" s="22">
        <f>IF(J226&lt;&gt;"0",J226,"")</f>
        <v>0</v>
      </c>
      <c r="T226" s="23"/>
      <c r="U226" s="23"/>
      <c r="V226" s="23"/>
      <c r="W226" s="23"/>
      <c r="X226" s="23"/>
    </row>
    <row r="227" spans="1:24" x14ac:dyDescent="0.2">
      <c r="A227" s="18"/>
      <c r="B227" s="19" t="str">
        <f>IF(A227="","",VLOOKUP(Planilla!A227,#REF!,2,FALSE))</f>
        <v/>
      </c>
      <c r="C227" s="19" t="str">
        <f>IF(B227="","",VLOOKUP(Planilla!A227,#REF!,3,FALSE))</f>
        <v/>
      </c>
      <c r="D227" s="20"/>
      <c r="E227" s="21"/>
      <c r="F227" s="21"/>
      <c r="G227" s="21"/>
      <c r="H227" s="21"/>
      <c r="I227" s="36"/>
      <c r="J227" s="36"/>
      <c r="K227" s="21"/>
      <c r="L227" s="21"/>
      <c r="M227" s="24">
        <f>IF(K227="",0,VLOOKUP(K227,#REF!,2,FALSE))</f>
        <v>0</v>
      </c>
      <c r="N227" s="24">
        <f>IF(L227="",0,VLOOKUP(L227,#REF!,2,FALSE))</f>
        <v>0</v>
      </c>
      <c r="O227" s="24">
        <f t="shared" si="8"/>
        <v>0</v>
      </c>
      <c r="P227" s="24">
        <f>IF(F227="Barrido","",O227)</f>
        <v>0</v>
      </c>
      <c r="Q227" s="24" t="str">
        <f>IF(F227="Barrido",O227,"")</f>
        <v/>
      </c>
      <c r="R227" s="24">
        <f>IF(I227&lt;&gt;"0",I227,"")</f>
        <v>0</v>
      </c>
      <c r="S227" s="22">
        <f>IF(J227&lt;&gt;"0",J227,"")</f>
        <v>0</v>
      </c>
      <c r="T227" s="23"/>
      <c r="U227" s="23"/>
      <c r="V227" s="23"/>
      <c r="W227" s="23"/>
      <c r="X227" s="23"/>
    </row>
    <row r="228" spans="1:24" x14ac:dyDescent="0.2">
      <c r="A228" s="18"/>
      <c r="B228" s="19" t="str">
        <f>IF(A228="","",VLOOKUP(Planilla!A228,#REF!,2,FALSE))</f>
        <v/>
      </c>
      <c r="C228" s="19" t="str">
        <f>IF(B228="","",VLOOKUP(Planilla!A228,#REF!,3,FALSE))</f>
        <v/>
      </c>
      <c r="D228" s="20"/>
      <c r="E228" s="21"/>
      <c r="F228" s="21"/>
      <c r="G228" s="21"/>
      <c r="H228" s="21"/>
      <c r="I228" s="36"/>
      <c r="J228" s="36"/>
      <c r="K228" s="21"/>
      <c r="L228" s="21"/>
      <c r="M228" s="24">
        <f>IF(K228="",0,VLOOKUP(K228,#REF!,2,FALSE))</f>
        <v>0</v>
      </c>
      <c r="N228" s="24">
        <f>IF(L228="",0,VLOOKUP(L228,#REF!,2,FALSE))</f>
        <v>0</v>
      </c>
      <c r="O228" s="24">
        <f t="shared" si="8"/>
        <v>0</v>
      </c>
      <c r="P228" s="24">
        <f>IF(F228="Barrido","",O228)</f>
        <v>0</v>
      </c>
      <c r="Q228" s="24" t="str">
        <f>IF(F228="Barrido",O228,"")</f>
        <v/>
      </c>
      <c r="R228" s="24">
        <f>IF(I228&lt;&gt;"0",I228,"")</f>
        <v>0</v>
      </c>
      <c r="S228" s="22">
        <f>IF(J228&lt;&gt;"0",J228,"")</f>
        <v>0</v>
      </c>
      <c r="T228" s="23"/>
      <c r="U228" s="23"/>
      <c r="V228" s="23"/>
      <c r="W228" s="23"/>
      <c r="X228" s="23"/>
    </row>
    <row r="229" spans="1:24" x14ac:dyDescent="0.2">
      <c r="A229" s="18"/>
      <c r="B229" s="19" t="str">
        <f>IF(A229="","",VLOOKUP(Planilla!A229,#REF!,2,FALSE))</f>
        <v/>
      </c>
      <c r="C229" s="19" t="str">
        <f>IF(B229="","",VLOOKUP(Planilla!A229,#REF!,3,FALSE))</f>
        <v/>
      </c>
      <c r="D229" s="20"/>
      <c r="E229" s="21"/>
      <c r="F229" s="21"/>
      <c r="G229" s="21"/>
      <c r="H229" s="21"/>
      <c r="I229" s="36"/>
      <c r="J229" s="36"/>
      <c r="K229" s="21"/>
      <c r="L229" s="21"/>
      <c r="M229" s="24">
        <f>IF(K229="",0,VLOOKUP(K229,#REF!,2,FALSE))</f>
        <v>0</v>
      </c>
      <c r="N229" s="24">
        <f>IF(L229="",0,VLOOKUP(L229,#REF!,2,FALSE))</f>
        <v>0</v>
      </c>
      <c r="O229" s="24">
        <f t="shared" si="8"/>
        <v>0</v>
      </c>
      <c r="P229" s="24">
        <f>IF(F229="Barrido","",O229)</f>
        <v>0</v>
      </c>
      <c r="Q229" s="24" t="str">
        <f>IF(F229="Barrido",O229,"")</f>
        <v/>
      </c>
      <c r="R229" s="24">
        <f>IF(I229&lt;&gt;"0",I229,"")</f>
        <v>0</v>
      </c>
      <c r="S229" s="22">
        <f>IF(J229&lt;&gt;"0",J229,"")</f>
        <v>0</v>
      </c>
      <c r="T229" s="23"/>
      <c r="U229" s="23"/>
      <c r="V229" s="23"/>
      <c r="W229" s="23"/>
      <c r="X229" s="23"/>
    </row>
    <row r="230" spans="1:24" x14ac:dyDescent="0.2">
      <c r="A230" s="18"/>
      <c r="B230" s="19" t="str">
        <f>IF(A230="","",VLOOKUP(Planilla!A230,#REF!,2,FALSE))</f>
        <v/>
      </c>
      <c r="C230" s="19" t="str">
        <f>IF(B230="","",VLOOKUP(Planilla!A230,#REF!,3,FALSE))</f>
        <v/>
      </c>
      <c r="D230" s="20"/>
      <c r="E230" s="21"/>
      <c r="F230" s="21"/>
      <c r="G230" s="21"/>
      <c r="H230" s="21"/>
      <c r="I230" s="36"/>
      <c r="J230" s="36"/>
      <c r="K230" s="21"/>
      <c r="L230" s="21"/>
      <c r="M230" s="24">
        <f>IF(K230="",0,VLOOKUP(K230,#REF!,2,FALSE))</f>
        <v>0</v>
      </c>
      <c r="N230" s="24">
        <f>IF(L230="",0,VLOOKUP(L230,#REF!,2,FALSE))</f>
        <v>0</v>
      </c>
      <c r="O230" s="24">
        <f t="shared" si="8"/>
        <v>0</v>
      </c>
      <c r="P230" s="24">
        <f>IF(F230="Barrido","",O230)</f>
        <v>0</v>
      </c>
      <c r="Q230" s="24" t="str">
        <f>IF(F230="Barrido",O230,"")</f>
        <v/>
      </c>
      <c r="R230" s="24">
        <f>IF(I230&lt;&gt;"0",I230,"")</f>
        <v>0</v>
      </c>
      <c r="S230" s="22">
        <f>IF(J230&lt;&gt;"0",J230,"")</f>
        <v>0</v>
      </c>
      <c r="T230" s="23"/>
      <c r="U230" s="23"/>
      <c r="V230" s="23"/>
      <c r="W230" s="23"/>
      <c r="X230" s="23"/>
    </row>
    <row r="231" spans="1:24" x14ac:dyDescent="0.2">
      <c r="A231" s="18"/>
      <c r="B231" s="19" t="str">
        <f>IF(A231="","",VLOOKUP(Planilla!A231,#REF!,2,FALSE))</f>
        <v/>
      </c>
      <c r="C231" s="19" t="str">
        <f>IF(B231="","",VLOOKUP(Planilla!A231,#REF!,3,FALSE))</f>
        <v/>
      </c>
      <c r="D231" s="20"/>
      <c r="E231" s="21"/>
      <c r="F231" s="21"/>
      <c r="G231" s="21"/>
      <c r="H231" s="21"/>
      <c r="I231" s="36"/>
      <c r="J231" s="36"/>
      <c r="K231" s="21"/>
      <c r="L231" s="21"/>
      <c r="M231" s="24">
        <f>IF(K231="",0,VLOOKUP(K231,#REF!,2,FALSE))</f>
        <v>0</v>
      </c>
      <c r="N231" s="24">
        <f>IF(L231="",0,VLOOKUP(L231,#REF!,2,FALSE))</f>
        <v>0</v>
      </c>
      <c r="O231" s="24">
        <f t="shared" si="8"/>
        <v>0</v>
      </c>
      <c r="P231" s="24">
        <f>IF(F231="Barrido","",O231)</f>
        <v>0</v>
      </c>
      <c r="Q231" s="24" t="str">
        <f>IF(F231="Barrido",O231,"")</f>
        <v/>
      </c>
      <c r="R231" s="24">
        <f>IF(I231&lt;&gt;"0",I231,"")</f>
        <v>0</v>
      </c>
      <c r="S231" s="22">
        <f>IF(J231&lt;&gt;"0",J231,"")</f>
        <v>0</v>
      </c>
      <c r="T231" s="23"/>
      <c r="U231" s="23"/>
      <c r="V231" s="23"/>
      <c r="W231" s="23"/>
      <c r="X231" s="23"/>
    </row>
    <row r="232" spans="1:24" x14ac:dyDescent="0.2">
      <c r="A232" s="18"/>
      <c r="B232" s="19" t="str">
        <f>IF(A232="","",VLOOKUP(Planilla!A232,#REF!,2,FALSE))</f>
        <v/>
      </c>
      <c r="C232" s="19" t="str">
        <f>IF(B232="","",VLOOKUP(Planilla!A232,#REF!,3,FALSE))</f>
        <v/>
      </c>
      <c r="D232" s="20"/>
      <c r="E232" s="21"/>
      <c r="F232" s="21"/>
      <c r="G232" s="21"/>
      <c r="H232" s="21"/>
      <c r="I232" s="36"/>
      <c r="J232" s="36"/>
      <c r="K232" s="21"/>
      <c r="L232" s="21"/>
      <c r="M232" s="24">
        <f>IF(K232="",0,VLOOKUP(K232,#REF!,2,FALSE))</f>
        <v>0</v>
      </c>
      <c r="N232" s="24">
        <f>IF(L232="",0,VLOOKUP(L232,#REF!,2,FALSE))</f>
        <v>0</v>
      </c>
      <c r="O232" s="24">
        <f t="shared" si="8"/>
        <v>0</v>
      </c>
      <c r="P232" s="24">
        <f>IF(F232="Barrido","",O232)</f>
        <v>0</v>
      </c>
      <c r="Q232" s="24" t="str">
        <f>IF(F232="Barrido",O232,"")</f>
        <v/>
      </c>
      <c r="R232" s="24">
        <f>IF(I232&lt;&gt;"0",I232,"")</f>
        <v>0</v>
      </c>
      <c r="S232" s="22">
        <f>IF(J232&lt;&gt;"0",J232,"")</f>
        <v>0</v>
      </c>
      <c r="T232" s="23"/>
      <c r="U232" s="23"/>
      <c r="V232" s="23"/>
      <c r="W232" s="23"/>
      <c r="X232" s="23"/>
    </row>
    <row r="233" spans="1:24" x14ac:dyDescent="0.2">
      <c r="A233" s="18"/>
      <c r="B233" s="19" t="str">
        <f>IF(A233="","",VLOOKUP(Planilla!A233,#REF!,2,FALSE))</f>
        <v/>
      </c>
      <c r="C233" s="19" t="str">
        <f>IF(B233="","",VLOOKUP(Planilla!A233,#REF!,3,FALSE))</f>
        <v/>
      </c>
      <c r="D233" s="20"/>
      <c r="E233" s="21"/>
      <c r="F233" s="21"/>
      <c r="G233" s="21"/>
      <c r="H233" s="21"/>
      <c r="I233" s="36"/>
      <c r="J233" s="36"/>
      <c r="K233" s="21"/>
      <c r="L233" s="21"/>
      <c r="M233" s="24">
        <f>IF(K233="",0,VLOOKUP(K233,#REF!,2,FALSE))</f>
        <v>0</v>
      </c>
      <c r="N233" s="24">
        <f>IF(L233="",0,VLOOKUP(L233,#REF!,2,FALSE))</f>
        <v>0</v>
      </c>
      <c r="O233" s="24">
        <f t="shared" si="8"/>
        <v>0</v>
      </c>
      <c r="P233" s="24">
        <f>IF(F233="Barrido","",O233)</f>
        <v>0</v>
      </c>
      <c r="Q233" s="24" t="str">
        <f>IF(F233="Barrido",O233,"")</f>
        <v/>
      </c>
      <c r="R233" s="24">
        <f>IF(I233&lt;&gt;"0",I233,"")</f>
        <v>0</v>
      </c>
      <c r="S233" s="22">
        <f>IF(J233&lt;&gt;"0",J233,"")</f>
        <v>0</v>
      </c>
      <c r="T233" s="23"/>
      <c r="U233" s="23"/>
      <c r="V233" s="23"/>
      <c r="W233" s="23"/>
      <c r="X233" s="23"/>
    </row>
    <row r="234" spans="1:24" x14ac:dyDescent="0.2">
      <c r="A234" s="18"/>
      <c r="B234" s="19" t="str">
        <f>IF(A234="","",VLOOKUP(Planilla!A234,#REF!,2,FALSE))</f>
        <v/>
      </c>
      <c r="C234" s="19" t="str">
        <f>IF(B234="","",VLOOKUP(Planilla!A234,#REF!,3,FALSE))</f>
        <v/>
      </c>
      <c r="D234" s="20"/>
      <c r="E234" s="21"/>
      <c r="F234" s="21"/>
      <c r="G234" s="21"/>
      <c r="H234" s="21"/>
      <c r="I234" s="36"/>
      <c r="J234" s="36"/>
      <c r="K234" s="21"/>
      <c r="L234" s="21"/>
      <c r="M234" s="24">
        <f>IF(K234="",0,VLOOKUP(K234,#REF!,2,FALSE))</f>
        <v>0</v>
      </c>
      <c r="N234" s="24">
        <f>IF(L234="",0,VLOOKUP(L234,#REF!,2,FALSE))</f>
        <v>0</v>
      </c>
      <c r="O234" s="24">
        <f t="shared" si="8"/>
        <v>0</v>
      </c>
      <c r="P234" s="24">
        <f>IF(F234="Barrido","",O234)</f>
        <v>0</v>
      </c>
      <c r="Q234" s="24" t="str">
        <f>IF(F234="Barrido",O234,"")</f>
        <v/>
      </c>
      <c r="R234" s="24">
        <f>IF(I234&lt;&gt;"0",I234,"")</f>
        <v>0</v>
      </c>
      <c r="S234" s="22">
        <f>IF(J234&lt;&gt;"0",J234,"")</f>
        <v>0</v>
      </c>
      <c r="T234" s="23"/>
      <c r="U234" s="23"/>
      <c r="V234" s="23"/>
      <c r="W234" s="23"/>
      <c r="X234" s="23"/>
    </row>
    <row r="235" spans="1:24" x14ac:dyDescent="0.2">
      <c r="A235" s="18"/>
      <c r="B235" s="19" t="str">
        <f>IF(A235="","",VLOOKUP(Planilla!A235,#REF!,2,FALSE))</f>
        <v/>
      </c>
      <c r="C235" s="19" t="str">
        <f>IF(B235="","",VLOOKUP(Planilla!A235,#REF!,3,FALSE))</f>
        <v/>
      </c>
      <c r="D235" s="20"/>
      <c r="E235" s="21"/>
      <c r="F235" s="21"/>
      <c r="G235" s="21"/>
      <c r="H235" s="21"/>
      <c r="I235" s="36"/>
      <c r="J235" s="36"/>
      <c r="K235" s="21"/>
      <c r="L235" s="21"/>
      <c r="M235" s="24">
        <f>IF(K235="",0,VLOOKUP(K235,#REF!,2,FALSE))</f>
        <v>0</v>
      </c>
      <c r="N235" s="24">
        <f>IF(L235="",0,VLOOKUP(L235,#REF!,2,FALSE))</f>
        <v>0</v>
      </c>
      <c r="O235" s="24">
        <f t="shared" si="8"/>
        <v>0</v>
      </c>
      <c r="P235" s="24">
        <f>IF(F235="Barrido","",O235)</f>
        <v>0</v>
      </c>
      <c r="Q235" s="24" t="str">
        <f>IF(F235="Barrido",O235,"")</f>
        <v/>
      </c>
      <c r="R235" s="24">
        <f>IF(I235&lt;&gt;"0",I235,"")</f>
        <v>0</v>
      </c>
      <c r="S235" s="22">
        <f>IF(J235&lt;&gt;"0",J235,"")</f>
        <v>0</v>
      </c>
      <c r="T235" s="23"/>
      <c r="U235" s="23"/>
      <c r="V235" s="23"/>
      <c r="W235" s="23"/>
      <c r="X235" s="23"/>
    </row>
    <row r="236" spans="1:24" x14ac:dyDescent="0.2">
      <c r="A236" s="18"/>
      <c r="B236" s="19" t="str">
        <f>IF(A236="","",VLOOKUP(Planilla!A236,#REF!,2,FALSE))</f>
        <v/>
      </c>
      <c r="C236" s="19" t="str">
        <f>IF(B236="","",VLOOKUP(Planilla!A236,#REF!,3,FALSE))</f>
        <v/>
      </c>
      <c r="D236" s="20"/>
      <c r="E236" s="21"/>
      <c r="F236" s="21"/>
      <c r="G236" s="21"/>
      <c r="H236" s="21"/>
      <c r="I236" s="36"/>
      <c r="J236" s="36"/>
      <c r="K236" s="21"/>
      <c r="L236" s="21"/>
      <c r="M236" s="24">
        <f>IF(K236="",0,VLOOKUP(K236,#REF!,2,FALSE))</f>
        <v>0</v>
      </c>
      <c r="N236" s="24">
        <f>IF(L236="",0,VLOOKUP(L236,#REF!,2,FALSE))</f>
        <v>0</v>
      </c>
      <c r="O236" s="24">
        <f t="shared" si="8"/>
        <v>0</v>
      </c>
      <c r="P236" s="24">
        <f>IF(F236="Barrido","",O236)</f>
        <v>0</v>
      </c>
      <c r="Q236" s="24" t="str">
        <f>IF(F236="Barrido",O236,"")</f>
        <v/>
      </c>
      <c r="R236" s="24">
        <f>IF(I236&lt;&gt;"0",I236,"")</f>
        <v>0</v>
      </c>
      <c r="S236" s="22">
        <f>IF(J236&lt;&gt;"0",J236,"")</f>
        <v>0</v>
      </c>
      <c r="T236" s="23"/>
      <c r="U236" s="23"/>
      <c r="V236" s="23"/>
      <c r="W236" s="23"/>
      <c r="X236" s="23"/>
    </row>
    <row r="237" spans="1:24" x14ac:dyDescent="0.2">
      <c r="A237" s="18"/>
      <c r="B237" s="19" t="str">
        <f>IF(A237="","",VLOOKUP(Planilla!A237,#REF!,2,FALSE))</f>
        <v/>
      </c>
      <c r="C237" s="19" t="str">
        <f>IF(B237="","",VLOOKUP(Planilla!A237,#REF!,3,FALSE))</f>
        <v/>
      </c>
      <c r="D237" s="20"/>
      <c r="E237" s="21"/>
      <c r="F237" s="21"/>
      <c r="G237" s="21"/>
      <c r="H237" s="21"/>
      <c r="I237" s="36"/>
      <c r="J237" s="36"/>
      <c r="K237" s="21"/>
      <c r="L237" s="21"/>
      <c r="M237" s="24">
        <f>IF(K237="",0,VLOOKUP(K237,#REF!,2,FALSE))</f>
        <v>0</v>
      </c>
      <c r="N237" s="24">
        <f>IF(L237="",0,VLOOKUP(L237,#REF!,2,FALSE))</f>
        <v>0</v>
      </c>
      <c r="O237" s="24">
        <f t="shared" si="8"/>
        <v>0</v>
      </c>
      <c r="P237" s="24">
        <f>IF(F237="Barrido","",O237)</f>
        <v>0</v>
      </c>
      <c r="Q237" s="24" t="str">
        <f>IF(F237="Barrido",O237,"")</f>
        <v/>
      </c>
      <c r="R237" s="24">
        <f>IF(I237&lt;&gt;"0",I237,"")</f>
        <v>0</v>
      </c>
      <c r="S237" s="22">
        <f>IF(J237&lt;&gt;"0",J237,"")</f>
        <v>0</v>
      </c>
      <c r="T237" s="23"/>
      <c r="U237" s="23"/>
      <c r="V237" s="23"/>
      <c r="W237" s="23"/>
      <c r="X237" s="23"/>
    </row>
    <row r="238" spans="1:24" x14ac:dyDescent="0.2">
      <c r="A238" s="18"/>
      <c r="B238" s="19" t="str">
        <f>IF(A238="","",VLOOKUP(Planilla!A238,#REF!,2,FALSE))</f>
        <v/>
      </c>
      <c r="C238" s="19" t="str">
        <f>IF(B238="","",VLOOKUP(Planilla!A238,#REF!,3,FALSE))</f>
        <v/>
      </c>
      <c r="D238" s="20"/>
      <c r="E238" s="21"/>
      <c r="F238" s="21"/>
      <c r="G238" s="21"/>
      <c r="H238" s="21"/>
      <c r="I238" s="36"/>
      <c r="J238" s="36"/>
      <c r="K238" s="21"/>
      <c r="L238" s="21"/>
      <c r="M238" s="24">
        <f>IF(K238="",0,VLOOKUP(K238,#REF!,2,FALSE))</f>
        <v>0</v>
      </c>
      <c r="N238" s="24">
        <f>IF(L238="",0,VLOOKUP(L238,#REF!,2,FALSE))</f>
        <v>0</v>
      </c>
      <c r="O238" s="24">
        <f t="shared" si="8"/>
        <v>0</v>
      </c>
      <c r="P238" s="24">
        <f>IF(F238="Barrido","",O238)</f>
        <v>0</v>
      </c>
      <c r="Q238" s="24" t="str">
        <f>IF(F238="Barrido",O238,"")</f>
        <v/>
      </c>
      <c r="R238" s="24">
        <f>IF(I238&lt;&gt;"0",I238,"")</f>
        <v>0</v>
      </c>
      <c r="S238" s="22">
        <f>IF(J238&lt;&gt;"0",J238,"")</f>
        <v>0</v>
      </c>
      <c r="T238" s="23"/>
      <c r="U238" s="23"/>
      <c r="V238" s="23"/>
      <c r="W238" s="23"/>
      <c r="X238" s="23"/>
    </row>
    <row r="239" spans="1:24" x14ac:dyDescent="0.2">
      <c r="A239" s="18"/>
      <c r="B239" s="19" t="str">
        <f>IF(A239="","",VLOOKUP(Planilla!A239,#REF!,2,FALSE))</f>
        <v/>
      </c>
      <c r="C239" s="19" t="str">
        <f>IF(B239="","",VLOOKUP(Planilla!A239,#REF!,3,FALSE))</f>
        <v/>
      </c>
      <c r="D239" s="20"/>
      <c r="E239" s="21"/>
      <c r="F239" s="21"/>
      <c r="G239" s="21"/>
      <c r="H239" s="21"/>
      <c r="I239" s="36"/>
      <c r="J239" s="36"/>
      <c r="K239" s="21"/>
      <c r="L239" s="21"/>
      <c r="M239" s="24">
        <f>IF(K239="",0,VLOOKUP(K239,#REF!,2,FALSE))</f>
        <v>0</v>
      </c>
      <c r="N239" s="24">
        <f>IF(L239="",0,VLOOKUP(L239,#REF!,2,FALSE))</f>
        <v>0</v>
      </c>
      <c r="O239" s="24">
        <f t="shared" si="8"/>
        <v>0</v>
      </c>
      <c r="P239" s="24">
        <f>IF(F239="Barrido","",O239)</f>
        <v>0</v>
      </c>
      <c r="Q239" s="24" t="str">
        <f>IF(F239="Barrido",O239,"")</f>
        <v/>
      </c>
      <c r="R239" s="24">
        <f>IF(I239&lt;&gt;"0",I239,"")</f>
        <v>0</v>
      </c>
      <c r="S239" s="22">
        <f>IF(J239&lt;&gt;"0",J239,"")</f>
        <v>0</v>
      </c>
      <c r="T239" s="23"/>
      <c r="U239" s="23"/>
      <c r="V239" s="23"/>
      <c r="W239" s="23"/>
      <c r="X239" s="23"/>
    </row>
    <row r="240" spans="1:24" x14ac:dyDescent="0.2">
      <c r="A240" s="18"/>
      <c r="B240" s="19" t="str">
        <f>IF(A240="","",VLOOKUP(Planilla!A240,#REF!,2,FALSE))</f>
        <v/>
      </c>
      <c r="C240" s="19" t="str">
        <f>IF(B240="","",VLOOKUP(Planilla!A240,#REF!,3,FALSE))</f>
        <v/>
      </c>
      <c r="D240" s="20"/>
      <c r="E240" s="21"/>
      <c r="F240" s="21"/>
      <c r="G240" s="21"/>
      <c r="H240" s="21"/>
      <c r="I240" s="36"/>
      <c r="J240" s="36"/>
      <c r="K240" s="21"/>
      <c r="L240" s="21"/>
      <c r="M240" s="24">
        <f>IF(K240="",0,VLOOKUP(K240,#REF!,2,FALSE))</f>
        <v>0</v>
      </c>
      <c r="N240" s="24">
        <f>IF(L240="",0,VLOOKUP(L240,#REF!,2,FALSE))</f>
        <v>0</v>
      </c>
      <c r="O240" s="24">
        <f t="shared" si="8"/>
        <v>0</v>
      </c>
      <c r="P240" s="24">
        <f>IF(F240="Barrido","",O240)</f>
        <v>0</v>
      </c>
      <c r="Q240" s="24" t="str">
        <f>IF(F240="Barrido",O240,"")</f>
        <v/>
      </c>
      <c r="R240" s="24">
        <f>IF(I240&lt;&gt;"0",I240,"")</f>
        <v>0</v>
      </c>
      <c r="S240" s="22">
        <f>IF(J240&lt;&gt;"0",J240,"")</f>
        <v>0</v>
      </c>
      <c r="T240" s="23"/>
      <c r="U240" s="23"/>
      <c r="V240" s="23"/>
      <c r="W240" s="23"/>
      <c r="X240" s="23"/>
    </row>
    <row r="241" spans="1:24" x14ac:dyDescent="0.2">
      <c r="A241" s="18"/>
      <c r="B241" s="19" t="str">
        <f>IF(A241="","",VLOOKUP(Planilla!A241,#REF!,2,FALSE))</f>
        <v/>
      </c>
      <c r="C241" s="19" t="str">
        <f>IF(B241="","",VLOOKUP(Planilla!A241,#REF!,3,FALSE))</f>
        <v/>
      </c>
      <c r="D241" s="20"/>
      <c r="E241" s="21"/>
      <c r="F241" s="21"/>
      <c r="G241" s="21"/>
      <c r="H241" s="21"/>
      <c r="I241" s="36"/>
      <c r="J241" s="36"/>
      <c r="K241" s="21"/>
      <c r="L241" s="21"/>
      <c r="M241" s="24">
        <f>IF(K241="",0,VLOOKUP(K241,#REF!,2,FALSE))</f>
        <v>0</v>
      </c>
      <c r="N241" s="24">
        <f>IF(L241="",0,VLOOKUP(L241,#REF!,2,FALSE))</f>
        <v>0</v>
      </c>
      <c r="O241" s="24">
        <f t="shared" si="8"/>
        <v>0</v>
      </c>
      <c r="P241" s="24">
        <f>IF(F241="Barrido","",O241)</f>
        <v>0</v>
      </c>
      <c r="Q241" s="24" t="str">
        <f>IF(F241="Barrido",O241,"")</f>
        <v/>
      </c>
      <c r="R241" s="24">
        <f>IF(I241&lt;&gt;"0",I241,"")</f>
        <v>0</v>
      </c>
      <c r="S241" s="22">
        <f>IF(J241&lt;&gt;"0",J241,"")</f>
        <v>0</v>
      </c>
      <c r="T241" s="23"/>
      <c r="U241" s="23"/>
      <c r="V241" s="23"/>
      <c r="W241" s="23"/>
      <c r="X241" s="23"/>
    </row>
    <row r="242" spans="1:24" x14ac:dyDescent="0.2">
      <c r="A242" s="18"/>
      <c r="B242" s="19" t="str">
        <f>IF(A242="","",VLOOKUP(Planilla!A242,#REF!,2,FALSE))</f>
        <v/>
      </c>
      <c r="C242" s="19" t="str">
        <f>IF(B242="","",VLOOKUP(Planilla!A242,#REF!,3,FALSE))</f>
        <v/>
      </c>
      <c r="D242" s="20"/>
      <c r="E242" s="21"/>
      <c r="F242" s="21"/>
      <c r="G242" s="21"/>
      <c r="H242" s="21"/>
      <c r="I242" s="36"/>
      <c r="J242" s="36"/>
      <c r="K242" s="21"/>
      <c r="L242" s="21"/>
      <c r="M242" s="24">
        <f>IF(K242="",0,VLOOKUP(K242,#REF!,2,FALSE))</f>
        <v>0</v>
      </c>
      <c r="N242" s="24">
        <f>IF(L242="",0,VLOOKUP(L242,#REF!,2,FALSE))</f>
        <v>0</v>
      </c>
      <c r="O242" s="24">
        <f t="shared" si="8"/>
        <v>0</v>
      </c>
      <c r="P242" s="24">
        <f>IF(F242="Barrido","",O242)</f>
        <v>0</v>
      </c>
      <c r="Q242" s="24" t="str">
        <f>IF(F242="Barrido",O242,"")</f>
        <v/>
      </c>
      <c r="R242" s="24">
        <f>IF(I242&lt;&gt;"0",I242,"")</f>
        <v>0</v>
      </c>
      <c r="S242" s="22">
        <f>IF(J242&lt;&gt;"0",J242,"")</f>
        <v>0</v>
      </c>
      <c r="T242" s="23"/>
      <c r="U242" s="23"/>
      <c r="V242" s="23"/>
      <c r="W242" s="23"/>
      <c r="X242" s="23"/>
    </row>
    <row r="243" spans="1:24" x14ac:dyDescent="0.2">
      <c r="A243" s="18"/>
      <c r="B243" s="19" t="str">
        <f>IF(A243="","",VLOOKUP(Planilla!A243,#REF!,2,FALSE))</f>
        <v/>
      </c>
      <c r="C243" s="19" t="str">
        <f>IF(B243="","",VLOOKUP(Planilla!A243,#REF!,3,FALSE))</f>
        <v/>
      </c>
      <c r="D243" s="20"/>
      <c r="E243" s="21"/>
      <c r="F243" s="21"/>
      <c r="G243" s="21"/>
      <c r="H243" s="21"/>
      <c r="I243" s="36"/>
      <c r="J243" s="36"/>
      <c r="K243" s="21"/>
      <c r="L243" s="21"/>
      <c r="M243" s="24">
        <f>IF(K243="",0,VLOOKUP(K243,#REF!,2,FALSE))</f>
        <v>0</v>
      </c>
      <c r="N243" s="24">
        <f>IF(L243="",0,VLOOKUP(L243,#REF!,2,FALSE))</f>
        <v>0</v>
      </c>
      <c r="O243" s="24">
        <f t="shared" si="8"/>
        <v>0</v>
      </c>
      <c r="P243" s="24">
        <f>IF(F243="Barrido","",O243)</f>
        <v>0</v>
      </c>
      <c r="Q243" s="24" t="str">
        <f>IF(F243="Barrido",O243,"")</f>
        <v/>
      </c>
      <c r="R243" s="24">
        <f>IF(I243&lt;&gt;"0",I243,"")</f>
        <v>0</v>
      </c>
      <c r="S243" s="22">
        <f>IF(J243&lt;&gt;"0",J243,"")</f>
        <v>0</v>
      </c>
      <c r="T243" s="23"/>
      <c r="U243" s="23"/>
      <c r="V243" s="23"/>
      <c r="W243" s="23"/>
      <c r="X243" s="23"/>
    </row>
    <row r="244" spans="1:24" x14ac:dyDescent="0.2">
      <c r="A244" s="18"/>
      <c r="B244" s="19" t="str">
        <f>IF(A244="","",VLOOKUP(Planilla!A244,#REF!,2,FALSE))</f>
        <v/>
      </c>
      <c r="C244" s="19" t="str">
        <f>IF(B244="","",VLOOKUP(Planilla!A244,#REF!,3,FALSE))</f>
        <v/>
      </c>
      <c r="D244" s="20"/>
      <c r="E244" s="21"/>
      <c r="F244" s="21"/>
      <c r="G244" s="21"/>
      <c r="H244" s="21"/>
      <c r="I244" s="36"/>
      <c r="J244" s="36"/>
      <c r="K244" s="21"/>
      <c r="L244" s="21"/>
      <c r="M244" s="24">
        <f>IF(K244="",0,VLOOKUP(K244,#REF!,2,FALSE))</f>
        <v>0</v>
      </c>
      <c r="N244" s="24">
        <f>IF(L244="",0,VLOOKUP(L244,#REF!,2,FALSE))</f>
        <v>0</v>
      </c>
      <c r="O244" s="24">
        <f t="shared" si="8"/>
        <v>0</v>
      </c>
      <c r="P244" s="24">
        <f>IF(F244="Barrido","",O244)</f>
        <v>0</v>
      </c>
      <c r="Q244" s="24" t="str">
        <f>IF(F244="Barrido",O244,"")</f>
        <v/>
      </c>
      <c r="R244" s="24">
        <f>IF(I244&lt;&gt;"0",I244,"")</f>
        <v>0</v>
      </c>
      <c r="S244" s="22">
        <f>IF(J244&lt;&gt;"0",J244,"")</f>
        <v>0</v>
      </c>
      <c r="T244" s="23"/>
      <c r="U244" s="23"/>
      <c r="V244" s="23"/>
      <c r="W244" s="23"/>
      <c r="X244" s="23"/>
    </row>
    <row r="245" spans="1:24" x14ac:dyDescent="0.2">
      <c r="A245" s="18"/>
      <c r="B245" s="19" t="str">
        <f>IF(A245="","",VLOOKUP(Planilla!A245,#REF!,2,FALSE))</f>
        <v/>
      </c>
      <c r="C245" s="19" t="str">
        <f>IF(B245="","",VLOOKUP(Planilla!A245,#REF!,3,FALSE))</f>
        <v/>
      </c>
      <c r="D245" s="20"/>
      <c r="E245" s="21"/>
      <c r="F245" s="21"/>
      <c r="G245" s="21"/>
      <c r="H245" s="21"/>
      <c r="I245" s="36"/>
      <c r="J245" s="36"/>
      <c r="K245" s="21"/>
      <c r="L245" s="21"/>
      <c r="M245" s="24">
        <f>IF(K245="",0,VLOOKUP(K245,#REF!,2,FALSE))</f>
        <v>0</v>
      </c>
      <c r="N245" s="24">
        <f>IF(L245="",0,VLOOKUP(L245,#REF!,2,FALSE))</f>
        <v>0</v>
      </c>
      <c r="O245" s="24">
        <f t="shared" si="8"/>
        <v>0</v>
      </c>
      <c r="P245" s="24">
        <f>IF(F245="Barrido","",O245)</f>
        <v>0</v>
      </c>
      <c r="Q245" s="24" t="str">
        <f>IF(F245="Barrido",O245,"")</f>
        <v/>
      </c>
      <c r="R245" s="24">
        <f>IF(I245&lt;&gt;"0",I245,"")</f>
        <v>0</v>
      </c>
      <c r="S245" s="22">
        <f>IF(J245&lt;&gt;"0",J245,"")</f>
        <v>0</v>
      </c>
      <c r="T245" s="23"/>
      <c r="U245" s="23"/>
      <c r="V245" s="23"/>
      <c r="W245" s="23"/>
      <c r="X245" s="23"/>
    </row>
    <row r="246" spans="1:24" x14ac:dyDescent="0.2">
      <c r="A246" s="18"/>
      <c r="B246" s="19" t="str">
        <f>IF(A246="","",VLOOKUP(Planilla!A246,#REF!,2,FALSE))</f>
        <v/>
      </c>
      <c r="C246" s="19" t="str">
        <f>IF(B246="","",VLOOKUP(Planilla!A246,#REF!,3,FALSE))</f>
        <v/>
      </c>
      <c r="D246" s="20"/>
      <c r="E246" s="21"/>
      <c r="F246" s="21"/>
      <c r="G246" s="21"/>
      <c r="H246" s="21"/>
      <c r="I246" s="36"/>
      <c r="J246" s="36"/>
      <c r="K246" s="21"/>
      <c r="L246" s="21"/>
      <c r="M246" s="24">
        <f>IF(K246="",0,VLOOKUP(K246,#REF!,2,FALSE))</f>
        <v>0</v>
      </c>
      <c r="N246" s="24">
        <f>IF(L246="",0,VLOOKUP(L246,#REF!,2,FALSE))</f>
        <v>0</v>
      </c>
      <c r="O246" s="24">
        <f t="shared" si="8"/>
        <v>0</v>
      </c>
      <c r="P246" s="24">
        <f>IF(F246="Barrido","",O246)</f>
        <v>0</v>
      </c>
      <c r="Q246" s="24" t="str">
        <f>IF(F246="Barrido",O246,"")</f>
        <v/>
      </c>
      <c r="R246" s="24">
        <f>IF(I246&lt;&gt;"0",I246,"")</f>
        <v>0</v>
      </c>
      <c r="S246" s="22">
        <f>IF(J246&lt;&gt;"0",J246,"")</f>
        <v>0</v>
      </c>
      <c r="T246" s="23"/>
      <c r="U246" s="23"/>
      <c r="V246" s="23"/>
      <c r="W246" s="23"/>
      <c r="X246" s="23"/>
    </row>
    <row r="247" spans="1:24" x14ac:dyDescent="0.2">
      <c r="A247" s="18"/>
      <c r="B247" s="19" t="str">
        <f>IF(A247="","",VLOOKUP(Planilla!A247,#REF!,2,FALSE))</f>
        <v/>
      </c>
      <c r="C247" s="19" t="str">
        <f>IF(B247="","",VLOOKUP(Planilla!A247,#REF!,3,FALSE))</f>
        <v/>
      </c>
      <c r="D247" s="20"/>
      <c r="E247" s="21"/>
      <c r="F247" s="21"/>
      <c r="G247" s="21"/>
      <c r="H247" s="21"/>
      <c r="I247" s="36"/>
      <c r="J247" s="36"/>
      <c r="K247" s="21"/>
      <c r="L247" s="21"/>
      <c r="M247" s="24">
        <f>IF(K247="",0,VLOOKUP(K247,#REF!,2,FALSE))</f>
        <v>0</v>
      </c>
      <c r="N247" s="24">
        <f>IF(L247="",0,VLOOKUP(L247,#REF!,2,FALSE))</f>
        <v>0</v>
      </c>
      <c r="O247" s="24">
        <f t="shared" si="8"/>
        <v>0</v>
      </c>
      <c r="P247" s="24">
        <f>IF(F247="Barrido","",O247)</f>
        <v>0</v>
      </c>
      <c r="Q247" s="24" t="str">
        <f>IF(F247="Barrido",O247,"")</f>
        <v/>
      </c>
      <c r="R247" s="24">
        <f>IF(I247&lt;&gt;"0",I247,"")</f>
        <v>0</v>
      </c>
      <c r="S247" s="22">
        <f>IF(J247&lt;&gt;"0",J247,"")</f>
        <v>0</v>
      </c>
      <c r="T247" s="23"/>
      <c r="U247" s="23"/>
      <c r="V247" s="23"/>
      <c r="W247" s="23"/>
      <c r="X247" s="23"/>
    </row>
    <row r="248" spans="1:24" x14ac:dyDescent="0.2">
      <c r="A248" s="18"/>
      <c r="B248" s="19" t="str">
        <f>IF(A248="","",VLOOKUP(Planilla!A248,#REF!,2,FALSE))</f>
        <v/>
      </c>
      <c r="C248" s="19" t="str">
        <f>IF(B248="","",VLOOKUP(Planilla!A248,#REF!,3,FALSE))</f>
        <v/>
      </c>
      <c r="D248" s="20"/>
      <c r="E248" s="21"/>
      <c r="F248" s="21"/>
      <c r="G248" s="21"/>
      <c r="H248" s="21"/>
      <c r="I248" s="36"/>
      <c r="J248" s="36"/>
      <c r="K248" s="21"/>
      <c r="L248" s="21"/>
      <c r="M248" s="24">
        <f>IF(K248="",0,VLOOKUP(K248,#REF!,2,FALSE))</f>
        <v>0</v>
      </c>
      <c r="N248" s="24">
        <f>IF(L248="",0,VLOOKUP(L248,#REF!,2,FALSE))</f>
        <v>0</v>
      </c>
      <c r="O248" s="24">
        <f t="shared" si="8"/>
        <v>0</v>
      </c>
      <c r="P248" s="24">
        <f>IF(F248="Barrido","",O248)</f>
        <v>0</v>
      </c>
      <c r="Q248" s="24" t="str">
        <f>IF(F248="Barrido",O248,"")</f>
        <v/>
      </c>
      <c r="R248" s="24">
        <f>IF(I248&lt;&gt;"0",I248,"")</f>
        <v>0</v>
      </c>
      <c r="S248" s="22">
        <f>IF(J248&lt;&gt;"0",J248,"")</f>
        <v>0</v>
      </c>
      <c r="T248" s="23"/>
      <c r="U248" s="23"/>
      <c r="V248" s="23"/>
      <c r="W248" s="23"/>
      <c r="X248" s="23"/>
    </row>
    <row r="249" spans="1:24" x14ac:dyDescent="0.2">
      <c r="A249" s="18"/>
      <c r="B249" s="19" t="str">
        <f>IF(A249="","",VLOOKUP(Planilla!A249,#REF!,2,FALSE))</f>
        <v/>
      </c>
      <c r="C249" s="19" t="str">
        <f>IF(B249="","",VLOOKUP(Planilla!A249,#REF!,3,FALSE))</f>
        <v/>
      </c>
      <c r="D249" s="20"/>
      <c r="E249" s="21"/>
      <c r="F249" s="21"/>
      <c r="G249" s="21"/>
      <c r="H249" s="21"/>
      <c r="I249" s="36"/>
      <c r="J249" s="36"/>
      <c r="K249" s="21"/>
      <c r="L249" s="21"/>
      <c r="M249" s="24">
        <f>IF(K249="",0,VLOOKUP(K249,#REF!,2,FALSE))</f>
        <v>0</v>
      </c>
      <c r="N249" s="24">
        <f>IF(L249="",0,VLOOKUP(L249,#REF!,2,FALSE))</f>
        <v>0</v>
      </c>
      <c r="O249" s="24">
        <f t="shared" si="8"/>
        <v>0</v>
      </c>
      <c r="P249" s="24">
        <f>IF(F249="Barrido","",O249)</f>
        <v>0</v>
      </c>
      <c r="Q249" s="24" t="str">
        <f>IF(F249="Barrido",O249,"")</f>
        <v/>
      </c>
      <c r="R249" s="24">
        <f>IF(I249&lt;&gt;"0",I249,"")</f>
        <v>0</v>
      </c>
      <c r="S249" s="22">
        <f>IF(J249&lt;&gt;"0",J249,"")</f>
        <v>0</v>
      </c>
      <c r="T249" s="23"/>
      <c r="U249" s="23"/>
      <c r="V249" s="23"/>
      <c r="W249" s="23"/>
      <c r="X249" s="23"/>
    </row>
    <row r="250" spans="1:24" x14ac:dyDescent="0.2">
      <c r="A250" s="18"/>
      <c r="B250" s="19" t="str">
        <f>IF(A250="","",VLOOKUP(Planilla!A250,#REF!,2,FALSE))</f>
        <v/>
      </c>
      <c r="C250" s="19" t="str">
        <f>IF(B250="","",VLOOKUP(Planilla!A250,#REF!,3,FALSE))</f>
        <v/>
      </c>
      <c r="D250" s="20"/>
      <c r="E250" s="21"/>
      <c r="F250" s="21"/>
      <c r="G250" s="21"/>
      <c r="H250" s="21"/>
      <c r="I250" s="36"/>
      <c r="J250" s="36"/>
      <c r="K250" s="21"/>
      <c r="L250" s="21"/>
      <c r="M250" s="24">
        <f>IF(K250="",0,VLOOKUP(K250,#REF!,2,FALSE))</f>
        <v>0</v>
      </c>
      <c r="N250" s="24">
        <f>IF(L250="",0,VLOOKUP(L250,#REF!,2,FALSE))</f>
        <v>0</v>
      </c>
      <c r="O250" s="24">
        <f t="shared" si="8"/>
        <v>0</v>
      </c>
      <c r="P250" s="24">
        <f>IF(F250="Barrido","",O250)</f>
        <v>0</v>
      </c>
      <c r="Q250" s="24" t="str">
        <f>IF(F250="Barrido",O250,"")</f>
        <v/>
      </c>
      <c r="R250" s="24">
        <f>IF(I250&lt;&gt;"0",I250,"")</f>
        <v>0</v>
      </c>
      <c r="S250" s="22">
        <f>IF(J250&lt;&gt;"0",J250,"")</f>
        <v>0</v>
      </c>
      <c r="T250" s="23"/>
      <c r="U250" s="23"/>
      <c r="V250" s="23"/>
      <c r="W250" s="23"/>
      <c r="X250" s="23"/>
    </row>
    <row r="251" spans="1:24" x14ac:dyDescent="0.2">
      <c r="A251" s="18"/>
      <c r="B251" s="19" t="str">
        <f>IF(A251="","",VLOOKUP(Planilla!A251,#REF!,2,FALSE))</f>
        <v/>
      </c>
      <c r="C251" s="19" t="str">
        <f>IF(B251="","",VLOOKUP(Planilla!A251,#REF!,3,FALSE))</f>
        <v/>
      </c>
      <c r="D251" s="20"/>
      <c r="E251" s="21"/>
      <c r="F251" s="21"/>
      <c r="G251" s="21"/>
      <c r="H251" s="21"/>
      <c r="I251" s="36"/>
      <c r="J251" s="36"/>
      <c r="K251" s="21"/>
      <c r="L251" s="21"/>
      <c r="M251" s="24">
        <f>IF(K251="",0,VLOOKUP(K251,#REF!,2,FALSE))</f>
        <v>0</v>
      </c>
      <c r="N251" s="24">
        <f>IF(L251="",0,VLOOKUP(L251,#REF!,2,FALSE))</f>
        <v>0</v>
      </c>
      <c r="O251" s="24">
        <f t="shared" si="8"/>
        <v>0</v>
      </c>
      <c r="P251" s="24">
        <f>IF(F251="Barrido","",O251)</f>
        <v>0</v>
      </c>
      <c r="Q251" s="24" t="str">
        <f>IF(F251="Barrido",O251,"")</f>
        <v/>
      </c>
      <c r="R251" s="24">
        <f>IF(I251&lt;&gt;"0",I251,"")</f>
        <v>0</v>
      </c>
      <c r="S251" s="22">
        <f>IF(J251&lt;&gt;"0",J251,"")</f>
        <v>0</v>
      </c>
      <c r="T251" s="23"/>
      <c r="U251" s="23"/>
      <c r="V251" s="23"/>
      <c r="W251" s="23"/>
      <c r="X251" s="23"/>
    </row>
    <row r="252" spans="1:24" x14ac:dyDescent="0.2">
      <c r="A252" s="18"/>
      <c r="B252" s="19" t="str">
        <f>IF(A252="","",VLOOKUP(Planilla!A252,#REF!,2,FALSE))</f>
        <v/>
      </c>
      <c r="C252" s="19" t="str">
        <f>IF(B252="","",VLOOKUP(Planilla!A252,#REF!,3,FALSE))</f>
        <v/>
      </c>
      <c r="D252" s="20"/>
      <c r="E252" s="21"/>
      <c r="F252" s="21"/>
      <c r="G252" s="21"/>
      <c r="H252" s="21"/>
      <c r="I252" s="36"/>
      <c r="J252" s="36"/>
      <c r="K252" s="21"/>
      <c r="L252" s="21"/>
      <c r="M252" s="24">
        <f>IF(K252="",0,VLOOKUP(K252,#REF!,2,FALSE))</f>
        <v>0</v>
      </c>
      <c r="N252" s="24">
        <f>IF(L252="",0,VLOOKUP(L252,#REF!,2,FALSE))</f>
        <v>0</v>
      </c>
      <c r="O252" s="24">
        <f t="shared" si="8"/>
        <v>0</v>
      </c>
      <c r="P252" s="24">
        <f>IF(F252="Barrido","",O252)</f>
        <v>0</v>
      </c>
      <c r="Q252" s="24" t="str">
        <f>IF(F252="Barrido",O252,"")</f>
        <v/>
      </c>
      <c r="R252" s="24">
        <f>IF(I252&lt;&gt;"0",I252,"")</f>
        <v>0</v>
      </c>
      <c r="S252" s="22">
        <f>IF(J252&lt;&gt;"0",J252,"")</f>
        <v>0</v>
      </c>
      <c r="T252" s="23"/>
      <c r="U252" s="23"/>
      <c r="V252" s="23"/>
      <c r="W252" s="23"/>
      <c r="X252" s="23"/>
    </row>
    <row r="253" spans="1:24" x14ac:dyDescent="0.2">
      <c r="A253" s="18"/>
      <c r="B253" s="19" t="str">
        <f>IF(A253="","",VLOOKUP(Planilla!A253,#REF!,2,FALSE))</f>
        <v/>
      </c>
      <c r="C253" s="19" t="str">
        <f>IF(B253="","",VLOOKUP(Planilla!A253,#REF!,3,FALSE))</f>
        <v/>
      </c>
      <c r="D253" s="20"/>
      <c r="E253" s="21"/>
      <c r="F253" s="21"/>
      <c r="G253" s="21"/>
      <c r="H253" s="21"/>
      <c r="I253" s="36"/>
      <c r="J253" s="36"/>
      <c r="K253" s="21"/>
      <c r="L253" s="21"/>
      <c r="M253" s="24">
        <f>IF(K253="",0,VLOOKUP(K253,#REF!,2,FALSE))</f>
        <v>0</v>
      </c>
      <c r="N253" s="24">
        <f>IF(L253="",0,VLOOKUP(L253,#REF!,2,FALSE))</f>
        <v>0</v>
      </c>
      <c r="O253" s="24">
        <f t="shared" si="8"/>
        <v>0</v>
      </c>
      <c r="P253" s="24">
        <f>IF(F253="Barrido","",O253)</f>
        <v>0</v>
      </c>
      <c r="Q253" s="24" t="str">
        <f>IF(F253="Barrido",O253,"")</f>
        <v/>
      </c>
      <c r="R253" s="24">
        <f>IF(I253&lt;&gt;"0",I253,"")</f>
        <v>0</v>
      </c>
      <c r="S253" s="22">
        <f>IF(J253&lt;&gt;"0",J253,"")</f>
        <v>0</v>
      </c>
      <c r="T253" s="23"/>
      <c r="U253" s="23"/>
      <c r="V253" s="23"/>
      <c r="W253" s="23"/>
      <c r="X253" s="23"/>
    </row>
    <row r="254" spans="1:24" x14ac:dyDescent="0.2">
      <c r="A254" s="18"/>
      <c r="B254" s="19" t="str">
        <f>IF(A254="","",VLOOKUP(Planilla!A254,#REF!,2,FALSE))</f>
        <v/>
      </c>
      <c r="C254" s="19" t="str">
        <f>IF(B254="","",VLOOKUP(Planilla!A254,#REF!,3,FALSE))</f>
        <v/>
      </c>
      <c r="D254" s="20"/>
      <c r="E254" s="21"/>
      <c r="F254" s="21"/>
      <c r="G254" s="21"/>
      <c r="H254" s="21"/>
      <c r="I254" s="36"/>
      <c r="J254" s="36"/>
      <c r="K254" s="21"/>
      <c r="L254" s="21"/>
      <c r="M254" s="24">
        <f>IF(K254="",0,VLOOKUP(K254,#REF!,2,FALSE))</f>
        <v>0</v>
      </c>
      <c r="N254" s="24">
        <f>IF(L254="",0,VLOOKUP(L254,#REF!,2,FALSE))</f>
        <v>0</v>
      </c>
      <c r="O254" s="24">
        <f t="shared" si="8"/>
        <v>0</v>
      </c>
      <c r="P254" s="24">
        <f>IF(F254="Barrido","",O254)</f>
        <v>0</v>
      </c>
      <c r="Q254" s="24" t="str">
        <f>IF(F254="Barrido",O254,"")</f>
        <v/>
      </c>
      <c r="R254" s="24">
        <f>IF(I254&lt;&gt;"0",I254,"")</f>
        <v>0</v>
      </c>
      <c r="S254" s="22">
        <f>IF(J254&lt;&gt;"0",J254,"")</f>
        <v>0</v>
      </c>
      <c r="T254" s="23"/>
      <c r="U254" s="23"/>
      <c r="V254" s="23"/>
      <c r="W254" s="23"/>
      <c r="X254" s="23"/>
    </row>
    <row r="255" spans="1:24" x14ac:dyDescent="0.2">
      <c r="A255" s="18"/>
      <c r="B255" s="19" t="str">
        <f>IF(A255="","",VLOOKUP(Planilla!A255,#REF!,2,FALSE))</f>
        <v/>
      </c>
      <c r="C255" s="19" t="str">
        <f>IF(B255="","",VLOOKUP(Planilla!A255,#REF!,3,FALSE))</f>
        <v/>
      </c>
      <c r="D255" s="20"/>
      <c r="E255" s="21"/>
      <c r="F255" s="21"/>
      <c r="G255" s="21"/>
      <c r="H255" s="21"/>
      <c r="I255" s="36"/>
      <c r="J255" s="36"/>
      <c r="K255" s="21"/>
      <c r="L255" s="21"/>
      <c r="M255" s="24">
        <f>IF(K255="",0,VLOOKUP(K255,#REF!,2,FALSE))</f>
        <v>0</v>
      </c>
      <c r="N255" s="24">
        <f>IF(L255="",0,VLOOKUP(L255,#REF!,2,FALSE))</f>
        <v>0</v>
      </c>
      <c r="O255" s="24">
        <f t="shared" si="8"/>
        <v>0</v>
      </c>
      <c r="P255" s="24">
        <f>IF(F255="Barrido","",O255)</f>
        <v>0</v>
      </c>
      <c r="Q255" s="24" t="str">
        <f>IF(F255="Barrido",O255,"")</f>
        <v/>
      </c>
      <c r="R255" s="24">
        <f>IF(I255&lt;&gt;"0",I255,"")</f>
        <v>0</v>
      </c>
      <c r="S255" s="22">
        <f>IF(J255&lt;&gt;"0",J255,"")</f>
        <v>0</v>
      </c>
      <c r="T255" s="23"/>
      <c r="U255" s="23"/>
      <c r="V255" s="23"/>
      <c r="W255" s="23"/>
      <c r="X255" s="23"/>
    </row>
    <row r="256" spans="1:24" x14ac:dyDescent="0.2">
      <c r="A256" s="18"/>
      <c r="B256" s="19" t="str">
        <f>IF(A256="","",VLOOKUP(Planilla!A256,#REF!,2,FALSE))</f>
        <v/>
      </c>
      <c r="C256" s="19" t="str">
        <f>IF(B256="","",VLOOKUP(Planilla!A256,#REF!,3,FALSE))</f>
        <v/>
      </c>
      <c r="D256" s="20"/>
      <c r="E256" s="21"/>
      <c r="F256" s="21"/>
      <c r="G256" s="21"/>
      <c r="H256" s="21"/>
      <c r="I256" s="36"/>
      <c r="J256" s="36"/>
      <c r="K256" s="21"/>
      <c r="L256" s="21"/>
      <c r="M256" s="24">
        <f>IF(K256="",0,VLOOKUP(K256,#REF!,2,FALSE))</f>
        <v>0</v>
      </c>
      <c r="N256" s="24">
        <f>IF(L256="",0,VLOOKUP(L256,#REF!,2,FALSE))</f>
        <v>0</v>
      </c>
      <c r="O256" s="24">
        <f t="shared" si="8"/>
        <v>0</v>
      </c>
      <c r="P256" s="24">
        <f>IF(F256="Barrido","",O256)</f>
        <v>0</v>
      </c>
      <c r="Q256" s="24" t="str">
        <f>IF(F256="Barrido",O256,"")</f>
        <v/>
      </c>
      <c r="R256" s="24">
        <f>IF(I256&lt;&gt;"0",I256,"")</f>
        <v>0</v>
      </c>
      <c r="S256" s="22">
        <f>IF(J256&lt;&gt;"0",J256,"")</f>
        <v>0</v>
      </c>
      <c r="T256" s="23"/>
      <c r="U256" s="23"/>
      <c r="V256" s="23"/>
      <c r="W256" s="23"/>
      <c r="X256" s="23"/>
    </row>
    <row r="257" spans="1:24" x14ac:dyDescent="0.2">
      <c r="A257" s="18"/>
      <c r="B257" s="19" t="str">
        <f>IF(A257="","",VLOOKUP(Planilla!A257,#REF!,2,FALSE))</f>
        <v/>
      </c>
      <c r="C257" s="19" t="str">
        <f>IF(B257="","",VLOOKUP(Planilla!A257,#REF!,3,FALSE))</f>
        <v/>
      </c>
      <c r="D257" s="20"/>
      <c r="E257" s="21"/>
      <c r="F257" s="21"/>
      <c r="G257" s="21"/>
      <c r="H257" s="21"/>
      <c r="I257" s="36"/>
      <c r="J257" s="36"/>
      <c r="K257" s="21"/>
      <c r="L257" s="21"/>
      <c r="M257" s="24">
        <f>IF(K257="",0,VLOOKUP(K257,#REF!,2,FALSE))</f>
        <v>0</v>
      </c>
      <c r="N257" s="24">
        <f>IF(L257="",0,VLOOKUP(L257,#REF!,2,FALSE))</f>
        <v>0</v>
      </c>
      <c r="O257" s="24">
        <f t="shared" si="8"/>
        <v>0</v>
      </c>
      <c r="P257" s="24">
        <f>IF(F257="Barrido","",O257)</f>
        <v>0</v>
      </c>
      <c r="Q257" s="24" t="str">
        <f>IF(F257="Barrido",O257,"")</f>
        <v/>
      </c>
      <c r="R257" s="24">
        <f>IF(I257&lt;&gt;"0",I257,"")</f>
        <v>0</v>
      </c>
      <c r="S257" s="22">
        <f>IF(J257&lt;&gt;"0",J257,"")</f>
        <v>0</v>
      </c>
      <c r="T257" s="23"/>
      <c r="U257" s="23"/>
      <c r="V257" s="23"/>
      <c r="W257" s="23"/>
      <c r="X257" s="23"/>
    </row>
    <row r="258" spans="1:24" x14ac:dyDescent="0.2">
      <c r="A258" s="18"/>
      <c r="B258" s="19" t="str">
        <f>IF(A258="","",VLOOKUP(Planilla!A258,#REF!,2,FALSE))</f>
        <v/>
      </c>
      <c r="C258" s="19" t="str">
        <f>IF(B258="","",VLOOKUP(Planilla!A258,#REF!,3,FALSE))</f>
        <v/>
      </c>
      <c r="D258" s="20"/>
      <c r="E258" s="21"/>
      <c r="F258" s="21"/>
      <c r="G258" s="21"/>
      <c r="H258" s="21"/>
      <c r="I258" s="36"/>
      <c r="J258" s="36"/>
      <c r="K258" s="21"/>
      <c r="L258" s="21"/>
      <c r="M258" s="24">
        <f>IF(K258="",0,VLOOKUP(K258,#REF!,2,FALSE))</f>
        <v>0</v>
      </c>
      <c r="N258" s="24">
        <f>IF(L258="",0,VLOOKUP(L258,#REF!,2,FALSE))</f>
        <v>0</v>
      </c>
      <c r="O258" s="24">
        <f t="shared" si="8"/>
        <v>0</v>
      </c>
      <c r="P258" s="24">
        <f>IF(F258="Barrido","",O258)</f>
        <v>0</v>
      </c>
      <c r="Q258" s="24" t="str">
        <f>IF(F258="Barrido",O258,"")</f>
        <v/>
      </c>
      <c r="R258" s="24">
        <f>IF(I258&lt;&gt;"0",I258,"")</f>
        <v>0</v>
      </c>
      <c r="S258" s="22">
        <f>IF(J258&lt;&gt;"0",J258,"")</f>
        <v>0</v>
      </c>
      <c r="T258" s="23"/>
      <c r="U258" s="23"/>
      <c r="V258" s="23"/>
      <c r="W258" s="23"/>
      <c r="X258" s="23"/>
    </row>
    <row r="259" spans="1:24" x14ac:dyDescent="0.2">
      <c r="A259" s="18"/>
      <c r="B259" s="19" t="str">
        <f>IF(A259="","",VLOOKUP(Planilla!A259,#REF!,2,FALSE))</f>
        <v/>
      </c>
      <c r="C259" s="19" t="str">
        <f>IF(B259="","",VLOOKUP(Planilla!A259,#REF!,3,FALSE))</f>
        <v/>
      </c>
      <c r="D259" s="20"/>
      <c r="E259" s="21"/>
      <c r="F259" s="21"/>
      <c r="G259" s="21"/>
      <c r="H259" s="21"/>
      <c r="I259" s="36"/>
      <c r="J259" s="36"/>
      <c r="K259" s="21"/>
      <c r="L259" s="21"/>
      <c r="M259" s="24">
        <f>IF(K259="",0,VLOOKUP(K259,#REF!,2,FALSE))</f>
        <v>0</v>
      </c>
      <c r="N259" s="24">
        <f>IF(L259="",0,VLOOKUP(L259,#REF!,2,FALSE))</f>
        <v>0</v>
      </c>
      <c r="O259" s="24">
        <f t="shared" si="8"/>
        <v>0</v>
      </c>
      <c r="P259" s="24">
        <f>IF(F259="Barrido","",O259)</f>
        <v>0</v>
      </c>
      <c r="Q259" s="24" t="str">
        <f>IF(F259="Barrido",O259,"")</f>
        <v/>
      </c>
      <c r="R259" s="24">
        <f>IF(I259&lt;&gt;"0",I259,"")</f>
        <v>0</v>
      </c>
      <c r="S259" s="22">
        <f>IF(J259&lt;&gt;"0",J259,"")</f>
        <v>0</v>
      </c>
      <c r="T259" s="23"/>
      <c r="U259" s="23"/>
      <c r="V259" s="23"/>
      <c r="W259" s="23"/>
      <c r="X259" s="23"/>
    </row>
    <row r="260" spans="1:24" x14ac:dyDescent="0.2">
      <c r="A260" s="18"/>
      <c r="B260" s="19" t="str">
        <f>IF(A260="","",VLOOKUP(Planilla!A260,#REF!,2,FALSE))</f>
        <v/>
      </c>
      <c r="C260" s="19" t="str">
        <f>IF(B260="","",VLOOKUP(Planilla!A260,#REF!,3,FALSE))</f>
        <v/>
      </c>
      <c r="D260" s="20"/>
      <c r="E260" s="21"/>
      <c r="F260" s="21"/>
      <c r="G260" s="21"/>
      <c r="H260" s="21"/>
      <c r="I260" s="36"/>
      <c r="J260" s="36"/>
      <c r="K260" s="21"/>
      <c r="L260" s="21"/>
      <c r="M260" s="24">
        <f>IF(K260="",0,VLOOKUP(K260,#REF!,2,FALSE))</f>
        <v>0</v>
      </c>
      <c r="N260" s="24">
        <f>IF(L260="",0,VLOOKUP(L260,#REF!,2,FALSE))</f>
        <v>0</v>
      </c>
      <c r="O260" s="24">
        <f t="shared" si="8"/>
        <v>0</v>
      </c>
      <c r="P260" s="24">
        <f>IF(F260="Barrido","",O260)</f>
        <v>0</v>
      </c>
      <c r="Q260" s="24" t="str">
        <f>IF(F260="Barrido",O260,"")</f>
        <v/>
      </c>
      <c r="R260" s="24">
        <f>IF(I260&lt;&gt;"0",I260,"")</f>
        <v>0</v>
      </c>
      <c r="S260" s="22">
        <f>IF(J260&lt;&gt;"0",J260,"")</f>
        <v>0</v>
      </c>
      <c r="T260" s="23"/>
      <c r="U260" s="23"/>
      <c r="V260" s="23"/>
      <c r="W260" s="23"/>
      <c r="X260" s="23"/>
    </row>
    <row r="261" spans="1:24" x14ac:dyDescent="0.2">
      <c r="A261" s="18"/>
      <c r="B261" s="19" t="str">
        <f>IF(A261="","",VLOOKUP(Planilla!A261,#REF!,2,FALSE))</f>
        <v/>
      </c>
      <c r="C261" s="19" t="str">
        <f>IF(B261="","",VLOOKUP(Planilla!A261,#REF!,3,FALSE))</f>
        <v/>
      </c>
      <c r="D261" s="20"/>
      <c r="E261" s="21"/>
      <c r="F261" s="21"/>
      <c r="G261" s="21"/>
      <c r="H261" s="21"/>
      <c r="I261" s="36"/>
      <c r="J261" s="36"/>
      <c r="K261" s="21"/>
      <c r="L261" s="21"/>
      <c r="M261" s="24">
        <f>IF(K261="",0,VLOOKUP(K261,#REF!,2,FALSE))</f>
        <v>0</v>
      </c>
      <c r="N261" s="24">
        <f>IF(L261="",0,VLOOKUP(L261,#REF!,2,FALSE))</f>
        <v>0</v>
      </c>
      <c r="O261" s="24">
        <f t="shared" si="8"/>
        <v>0</v>
      </c>
      <c r="P261" s="24">
        <f>IF(F261="Barrido","",O261)</f>
        <v>0</v>
      </c>
      <c r="Q261" s="24" t="str">
        <f>IF(F261="Barrido",O261,"")</f>
        <v/>
      </c>
      <c r="R261" s="24">
        <f>IF(I261&lt;&gt;"0",I261,"")</f>
        <v>0</v>
      </c>
      <c r="S261" s="22">
        <f>IF(J261&lt;&gt;"0",J261,"")</f>
        <v>0</v>
      </c>
      <c r="T261" s="23"/>
      <c r="U261" s="23"/>
      <c r="V261" s="23"/>
      <c r="W261" s="23"/>
      <c r="X261" s="23"/>
    </row>
    <row r="262" spans="1:24" x14ac:dyDescent="0.2">
      <c r="A262" s="18"/>
      <c r="B262" s="19" t="str">
        <f>IF(A262="","",VLOOKUP(Planilla!A262,#REF!,2,FALSE))</f>
        <v/>
      </c>
      <c r="C262" s="19" t="str">
        <f>IF(B262="","",VLOOKUP(Planilla!A262,#REF!,3,FALSE))</f>
        <v/>
      </c>
      <c r="D262" s="20"/>
      <c r="E262" s="21"/>
      <c r="F262" s="21"/>
      <c r="G262" s="21"/>
      <c r="H262" s="21"/>
      <c r="I262" s="36"/>
      <c r="J262" s="36"/>
      <c r="K262" s="21"/>
      <c r="L262" s="21"/>
      <c r="M262" s="24">
        <f>IF(K262="",0,VLOOKUP(K262,#REF!,2,FALSE))</f>
        <v>0</v>
      </c>
      <c r="N262" s="24">
        <f>IF(L262="",0,VLOOKUP(L262,#REF!,2,FALSE))</f>
        <v>0</v>
      </c>
      <c r="O262" s="24">
        <f t="shared" si="8"/>
        <v>0</v>
      </c>
      <c r="P262" s="24">
        <f>IF(F262="Barrido","",O262)</f>
        <v>0</v>
      </c>
      <c r="Q262" s="24" t="str">
        <f>IF(F262="Barrido",O262,"")</f>
        <v/>
      </c>
      <c r="R262" s="24">
        <f>IF(I262&lt;&gt;"0",I262,"")</f>
        <v>0</v>
      </c>
      <c r="S262" s="22">
        <f>IF(J262&lt;&gt;"0",J262,"")</f>
        <v>0</v>
      </c>
      <c r="T262" s="23"/>
      <c r="U262" s="23"/>
      <c r="V262" s="23"/>
      <c r="W262" s="23"/>
      <c r="X262" s="23"/>
    </row>
    <row r="263" spans="1:24" x14ac:dyDescent="0.2">
      <c r="A263" s="18"/>
      <c r="B263" s="19" t="str">
        <f>IF(A263="","",VLOOKUP(Planilla!A263,#REF!,2,FALSE))</f>
        <v/>
      </c>
      <c r="C263" s="19" t="str">
        <f>IF(B263="","",VLOOKUP(Planilla!A263,#REF!,3,FALSE))</f>
        <v/>
      </c>
      <c r="D263" s="20"/>
      <c r="E263" s="21"/>
      <c r="F263" s="21"/>
      <c r="G263" s="21"/>
      <c r="H263" s="21"/>
      <c r="I263" s="36"/>
      <c r="J263" s="36"/>
      <c r="K263" s="21"/>
      <c r="L263" s="21"/>
      <c r="M263" s="24">
        <f>IF(K263="",0,VLOOKUP(K263,#REF!,2,FALSE))</f>
        <v>0</v>
      </c>
      <c r="N263" s="24">
        <f>IF(L263="",0,VLOOKUP(L263,#REF!,2,FALSE))</f>
        <v>0</v>
      </c>
      <c r="O263" s="24">
        <f t="shared" si="8"/>
        <v>0</v>
      </c>
      <c r="P263" s="24">
        <f>IF(F263="Barrido","",O263)</f>
        <v>0</v>
      </c>
      <c r="Q263" s="24" t="str">
        <f>IF(F263="Barrido",O263,"")</f>
        <v/>
      </c>
      <c r="R263" s="24">
        <f>IF(I263&lt;&gt;"0",I263,"")</f>
        <v>0</v>
      </c>
      <c r="S263" s="22">
        <f>IF(J263&lt;&gt;"0",J263,"")</f>
        <v>0</v>
      </c>
      <c r="T263" s="23"/>
      <c r="U263" s="23"/>
      <c r="V263" s="23"/>
      <c r="W263" s="23"/>
      <c r="X263" s="23"/>
    </row>
    <row r="264" spans="1:24" x14ac:dyDescent="0.2">
      <c r="A264" s="18"/>
      <c r="B264" s="19" t="str">
        <f>IF(A264="","",VLOOKUP(Planilla!A264,#REF!,2,FALSE))</f>
        <v/>
      </c>
      <c r="C264" s="19" t="str">
        <f>IF(B264="","",VLOOKUP(Planilla!A264,#REF!,3,FALSE))</f>
        <v/>
      </c>
      <c r="D264" s="20"/>
      <c r="E264" s="21"/>
      <c r="F264" s="21"/>
      <c r="G264" s="21"/>
      <c r="H264" s="21"/>
      <c r="I264" s="36"/>
      <c r="J264" s="36"/>
      <c r="K264" s="21"/>
      <c r="L264" s="21"/>
      <c r="M264" s="24">
        <f>IF(K264="",0,VLOOKUP(K264,#REF!,2,FALSE))</f>
        <v>0</v>
      </c>
      <c r="N264" s="24">
        <f>IF(L264="",0,VLOOKUP(L264,#REF!,2,FALSE))</f>
        <v>0</v>
      </c>
      <c r="O264" s="24">
        <f t="shared" si="8"/>
        <v>0</v>
      </c>
      <c r="P264" s="24">
        <f>IF(F264="Barrido","",O264)</f>
        <v>0</v>
      </c>
      <c r="Q264" s="24" t="str">
        <f>IF(F264="Barrido",O264,"")</f>
        <v/>
      </c>
      <c r="R264" s="24">
        <f>IF(I264&lt;&gt;"0",I264,"")</f>
        <v>0</v>
      </c>
      <c r="S264" s="22">
        <f>IF(J264&lt;&gt;"0",J264,"")</f>
        <v>0</v>
      </c>
      <c r="T264" s="23"/>
      <c r="U264" s="23"/>
      <c r="V264" s="23"/>
      <c r="W264" s="23"/>
      <c r="X264" s="23"/>
    </row>
    <row r="265" spans="1:24" x14ac:dyDescent="0.2">
      <c r="A265" s="18"/>
      <c r="B265" s="19" t="str">
        <f>IF(A265="","",VLOOKUP(Planilla!A265,#REF!,2,FALSE))</f>
        <v/>
      </c>
      <c r="C265" s="19" t="str">
        <f>IF(B265="","",VLOOKUP(Planilla!A265,#REF!,3,FALSE))</f>
        <v/>
      </c>
      <c r="D265" s="20"/>
      <c r="E265" s="21"/>
      <c r="F265" s="21"/>
      <c r="G265" s="21"/>
      <c r="H265" s="21"/>
      <c r="I265" s="36"/>
      <c r="J265" s="36"/>
      <c r="K265" s="21"/>
      <c r="L265" s="21"/>
      <c r="M265" s="24">
        <f>IF(K265="",0,VLOOKUP(K265,#REF!,2,FALSE))</f>
        <v>0</v>
      </c>
      <c r="N265" s="24">
        <f>IF(L265="",0,VLOOKUP(L265,#REF!,2,FALSE))</f>
        <v>0</v>
      </c>
      <c r="O265" s="24">
        <f t="shared" si="8"/>
        <v>0</v>
      </c>
      <c r="P265" s="24">
        <f>IF(F265="Barrido","",O265)</f>
        <v>0</v>
      </c>
      <c r="Q265" s="24" t="str">
        <f>IF(F265="Barrido",O265,"")</f>
        <v/>
      </c>
      <c r="R265" s="24">
        <f>IF(I265&lt;&gt;"0",I265,"")</f>
        <v>0</v>
      </c>
      <c r="S265" s="22">
        <f>IF(J265&lt;&gt;"0",J265,"")</f>
        <v>0</v>
      </c>
      <c r="T265" s="23"/>
      <c r="U265" s="23"/>
      <c r="V265" s="23"/>
      <c r="W265" s="23"/>
      <c r="X265" s="23"/>
    </row>
    <row r="266" spans="1:24" x14ac:dyDescent="0.2">
      <c r="A266" s="18"/>
      <c r="B266" s="19" t="str">
        <f>IF(A266="","",VLOOKUP(Planilla!A266,#REF!,2,FALSE))</f>
        <v/>
      </c>
      <c r="C266" s="19" t="str">
        <f>IF(B266="","",VLOOKUP(Planilla!A266,#REF!,3,FALSE))</f>
        <v/>
      </c>
      <c r="D266" s="20"/>
      <c r="E266" s="21"/>
      <c r="F266" s="21"/>
      <c r="G266" s="21"/>
      <c r="H266" s="21"/>
      <c r="I266" s="36"/>
      <c r="J266" s="36"/>
      <c r="K266" s="21"/>
      <c r="L266" s="21"/>
      <c r="M266" s="24">
        <f>IF(K266="",0,VLOOKUP(K266,#REF!,2,FALSE))</f>
        <v>0</v>
      </c>
      <c r="N266" s="24">
        <f>IF(L266="",0,VLOOKUP(L266,#REF!,2,FALSE))</f>
        <v>0</v>
      </c>
      <c r="O266" s="24">
        <f t="shared" si="8"/>
        <v>0</v>
      </c>
      <c r="P266" s="24">
        <f>IF(F266="Barrido","",O266)</f>
        <v>0</v>
      </c>
      <c r="Q266" s="24" t="str">
        <f>IF(F266="Barrido",O266,"")</f>
        <v/>
      </c>
      <c r="R266" s="24">
        <f>IF(I266&lt;&gt;"0",I266,"")</f>
        <v>0</v>
      </c>
      <c r="S266" s="22">
        <f>IF(J266&lt;&gt;"0",J266,"")</f>
        <v>0</v>
      </c>
      <c r="T266" s="23"/>
      <c r="U266" s="23"/>
      <c r="V266" s="23"/>
      <c r="W266" s="23"/>
      <c r="X266" s="23"/>
    </row>
    <row r="267" spans="1:24" x14ac:dyDescent="0.2">
      <c r="A267" s="18"/>
      <c r="B267" s="19" t="str">
        <f>IF(A267="","",VLOOKUP(Planilla!A267,#REF!,2,FALSE))</f>
        <v/>
      </c>
      <c r="C267" s="19" t="str">
        <f>IF(B267="","",VLOOKUP(Planilla!A267,#REF!,3,FALSE))</f>
        <v/>
      </c>
      <c r="D267" s="20"/>
      <c r="E267" s="21"/>
      <c r="F267" s="21"/>
      <c r="G267" s="21"/>
      <c r="H267" s="21"/>
      <c r="I267" s="36"/>
      <c r="J267" s="36"/>
      <c r="K267" s="21"/>
      <c r="L267" s="21"/>
      <c r="M267" s="24">
        <f>IF(K267="",0,VLOOKUP(K267,#REF!,2,FALSE))</f>
        <v>0</v>
      </c>
      <c r="N267" s="24">
        <f>IF(L267="",0,VLOOKUP(L267,#REF!,2,FALSE))</f>
        <v>0</v>
      </c>
      <c r="O267" s="24">
        <f t="shared" si="8"/>
        <v>0</v>
      </c>
      <c r="P267" s="24">
        <f>IF(F267="Barrido","",O267)</f>
        <v>0</v>
      </c>
      <c r="Q267" s="24" t="str">
        <f>IF(F267="Barrido",O267,"")</f>
        <v/>
      </c>
      <c r="R267" s="24">
        <f>IF(I267&lt;&gt;"0",I267,"")</f>
        <v>0</v>
      </c>
      <c r="S267" s="22">
        <f>IF(J267&lt;&gt;"0",J267,"")</f>
        <v>0</v>
      </c>
      <c r="T267" s="23"/>
      <c r="U267" s="23"/>
      <c r="V267" s="23"/>
      <c r="W267" s="23"/>
      <c r="X267" s="23"/>
    </row>
    <row r="268" spans="1:24" x14ac:dyDescent="0.2">
      <c r="A268" s="18"/>
      <c r="B268" s="19" t="str">
        <f>IF(A268="","",VLOOKUP(Planilla!A268,#REF!,2,FALSE))</f>
        <v/>
      </c>
      <c r="C268" s="19" t="str">
        <f>IF(B268="","",VLOOKUP(Planilla!A268,#REF!,3,FALSE))</f>
        <v/>
      </c>
      <c r="D268" s="20"/>
      <c r="E268" s="21"/>
      <c r="F268" s="21"/>
      <c r="G268" s="21"/>
      <c r="H268" s="21"/>
      <c r="I268" s="36"/>
      <c r="J268" s="36"/>
      <c r="K268" s="21"/>
      <c r="L268" s="21"/>
      <c r="M268" s="24">
        <f>IF(K268="",0,VLOOKUP(K268,#REF!,2,FALSE))</f>
        <v>0</v>
      </c>
      <c r="N268" s="24">
        <f>IF(L268="",0,VLOOKUP(L268,#REF!,2,FALSE))</f>
        <v>0</v>
      </c>
      <c r="O268" s="24">
        <f t="shared" si="8"/>
        <v>0</v>
      </c>
      <c r="P268" s="24">
        <f>IF(F268="Barrido","",O268)</f>
        <v>0</v>
      </c>
      <c r="Q268" s="24" t="str">
        <f>IF(F268="Barrido",O268,"")</f>
        <v/>
      </c>
      <c r="R268" s="24">
        <f>IF(I268&lt;&gt;"0",I268,"")</f>
        <v>0</v>
      </c>
      <c r="S268" s="22">
        <f>IF(J268&lt;&gt;"0",J268,"")</f>
        <v>0</v>
      </c>
      <c r="T268" s="23"/>
      <c r="U268" s="23"/>
      <c r="V268" s="23"/>
      <c r="W268" s="23"/>
      <c r="X268" s="23"/>
    </row>
    <row r="269" spans="1:24" x14ac:dyDescent="0.2">
      <c r="A269" s="18"/>
      <c r="B269" s="19" t="str">
        <f>IF(A269="","",VLOOKUP(Planilla!A269,#REF!,2,FALSE))</f>
        <v/>
      </c>
      <c r="C269" s="19" t="str">
        <f>IF(B269="","",VLOOKUP(Planilla!A269,#REF!,3,FALSE))</f>
        <v/>
      </c>
      <c r="D269" s="20"/>
      <c r="E269" s="21"/>
      <c r="F269" s="21"/>
      <c r="G269" s="21"/>
      <c r="H269" s="21"/>
      <c r="I269" s="36"/>
      <c r="J269" s="36"/>
      <c r="K269" s="21"/>
      <c r="L269" s="21"/>
      <c r="M269" s="24">
        <f>IF(K269="",0,VLOOKUP(K269,#REF!,2,FALSE))</f>
        <v>0</v>
      </c>
      <c r="N269" s="24">
        <f>IF(L269="",0,VLOOKUP(L269,#REF!,2,FALSE))</f>
        <v>0</v>
      </c>
      <c r="O269" s="24">
        <f t="shared" si="8"/>
        <v>0</v>
      </c>
      <c r="P269" s="24">
        <f>IF(F269="Barrido","",O269)</f>
        <v>0</v>
      </c>
      <c r="Q269" s="24" t="str">
        <f>IF(F269="Barrido",O269,"")</f>
        <v/>
      </c>
      <c r="R269" s="24">
        <f>IF(I269&lt;&gt;"0",I269,"")</f>
        <v>0</v>
      </c>
      <c r="S269" s="22">
        <f>IF(J269&lt;&gt;"0",J269,"")</f>
        <v>0</v>
      </c>
      <c r="T269" s="23"/>
      <c r="U269" s="23"/>
      <c r="V269" s="23"/>
      <c r="W269" s="23"/>
      <c r="X269" s="23"/>
    </row>
    <row r="270" spans="1:24" x14ac:dyDescent="0.2">
      <c r="A270" s="18"/>
      <c r="B270" s="19" t="str">
        <f>IF(A270="","",VLOOKUP(Planilla!A270,#REF!,2,FALSE))</f>
        <v/>
      </c>
      <c r="C270" s="19" t="str">
        <f>IF(B270="","",VLOOKUP(Planilla!A270,#REF!,3,FALSE))</f>
        <v/>
      </c>
      <c r="D270" s="20"/>
      <c r="E270" s="21"/>
      <c r="F270" s="21"/>
      <c r="G270" s="21"/>
      <c r="H270" s="21"/>
      <c r="I270" s="36"/>
      <c r="J270" s="36"/>
      <c r="K270" s="21"/>
      <c r="L270" s="21"/>
      <c r="M270" s="24">
        <f>IF(K270="",0,VLOOKUP(K270,#REF!,2,FALSE))</f>
        <v>0</v>
      </c>
      <c r="N270" s="24">
        <f>IF(L270="",0,VLOOKUP(L270,#REF!,2,FALSE))</f>
        <v>0</v>
      </c>
      <c r="O270" s="24">
        <f t="shared" si="8"/>
        <v>0</v>
      </c>
      <c r="P270" s="24">
        <f>IF(F270="Barrido","",O270)</f>
        <v>0</v>
      </c>
      <c r="Q270" s="24" t="str">
        <f>IF(F270="Barrido",O270,"")</f>
        <v/>
      </c>
      <c r="R270" s="24">
        <f>IF(I270&lt;&gt;"0",I270,"")</f>
        <v>0</v>
      </c>
      <c r="S270" s="22">
        <f>IF(J270&lt;&gt;"0",J270,"")</f>
        <v>0</v>
      </c>
      <c r="T270" s="23"/>
      <c r="U270" s="23"/>
      <c r="V270" s="23"/>
      <c r="W270" s="23"/>
      <c r="X270" s="23"/>
    </row>
    <row r="271" spans="1:24" x14ac:dyDescent="0.2">
      <c r="A271" s="18"/>
      <c r="B271" s="19" t="str">
        <f>IF(A271="","",VLOOKUP(Planilla!A271,#REF!,2,FALSE))</f>
        <v/>
      </c>
      <c r="C271" s="19" t="str">
        <f>IF(B271="","",VLOOKUP(Planilla!A271,#REF!,3,FALSE))</f>
        <v/>
      </c>
      <c r="D271" s="20"/>
      <c r="E271" s="21"/>
      <c r="F271" s="21"/>
      <c r="G271" s="21"/>
      <c r="H271" s="21"/>
      <c r="I271" s="36"/>
      <c r="J271" s="36"/>
      <c r="K271" s="21"/>
      <c r="L271" s="21"/>
      <c r="M271" s="24">
        <f>IF(K271="",0,VLOOKUP(K271,#REF!,2,FALSE))</f>
        <v>0</v>
      </c>
      <c r="N271" s="24">
        <f>IF(L271="",0,VLOOKUP(L271,#REF!,2,FALSE))</f>
        <v>0</v>
      </c>
      <c r="O271" s="24">
        <f t="shared" ref="O271:O334" si="9">M271+N271</f>
        <v>0</v>
      </c>
      <c r="P271" s="24">
        <f>IF(F271="Barrido","",O271)</f>
        <v>0</v>
      </c>
      <c r="Q271" s="24" t="str">
        <f>IF(F271="Barrido",O271,"")</f>
        <v/>
      </c>
      <c r="R271" s="24">
        <f>IF(I271&lt;&gt;"0",I271,"")</f>
        <v>0</v>
      </c>
      <c r="S271" s="22">
        <f>IF(J271&lt;&gt;"0",J271,"")</f>
        <v>0</v>
      </c>
      <c r="T271" s="23"/>
      <c r="U271" s="23"/>
      <c r="V271" s="23"/>
      <c r="W271" s="23"/>
      <c r="X271" s="23"/>
    </row>
    <row r="272" spans="1:24" x14ac:dyDescent="0.2">
      <c r="A272" s="18"/>
      <c r="B272" s="19" t="str">
        <f>IF(A272="","",VLOOKUP(Planilla!A272,#REF!,2,FALSE))</f>
        <v/>
      </c>
      <c r="C272" s="19" t="str">
        <f>IF(B272="","",VLOOKUP(Planilla!A272,#REF!,3,FALSE))</f>
        <v/>
      </c>
      <c r="D272" s="20"/>
      <c r="E272" s="21"/>
      <c r="F272" s="21"/>
      <c r="G272" s="21"/>
      <c r="H272" s="21"/>
      <c r="I272" s="36"/>
      <c r="J272" s="36"/>
      <c r="K272" s="21"/>
      <c r="L272" s="21"/>
      <c r="M272" s="24">
        <f>IF(K272="",0,VLOOKUP(K272,#REF!,2,FALSE))</f>
        <v>0</v>
      </c>
      <c r="N272" s="24">
        <f>IF(L272="",0,VLOOKUP(L272,#REF!,2,FALSE))</f>
        <v>0</v>
      </c>
      <c r="O272" s="24">
        <f t="shared" si="9"/>
        <v>0</v>
      </c>
      <c r="P272" s="24">
        <f>IF(F272="Barrido","",O272)</f>
        <v>0</v>
      </c>
      <c r="Q272" s="24" t="str">
        <f>IF(F272="Barrido",O272,"")</f>
        <v/>
      </c>
      <c r="R272" s="24">
        <f>IF(I272&lt;&gt;"0",I272,"")</f>
        <v>0</v>
      </c>
      <c r="S272" s="22">
        <f>IF(J272&lt;&gt;"0",J272,"")</f>
        <v>0</v>
      </c>
      <c r="T272" s="23"/>
      <c r="U272" s="23"/>
      <c r="V272" s="23"/>
      <c r="W272" s="23"/>
      <c r="X272" s="23"/>
    </row>
    <row r="273" spans="1:24" x14ac:dyDescent="0.2">
      <c r="A273" s="18"/>
      <c r="B273" s="19" t="str">
        <f>IF(A273="","",VLOOKUP(Planilla!A273,#REF!,2,FALSE))</f>
        <v/>
      </c>
      <c r="C273" s="19" t="str">
        <f>IF(B273="","",VLOOKUP(Planilla!A273,#REF!,3,FALSE))</f>
        <v/>
      </c>
      <c r="D273" s="20"/>
      <c r="E273" s="21"/>
      <c r="F273" s="21"/>
      <c r="G273" s="21"/>
      <c r="H273" s="21"/>
      <c r="I273" s="36"/>
      <c r="J273" s="36"/>
      <c r="K273" s="21"/>
      <c r="L273" s="21"/>
      <c r="M273" s="24">
        <f>IF(K273="",0,VLOOKUP(K273,#REF!,2,FALSE))</f>
        <v>0</v>
      </c>
      <c r="N273" s="24">
        <f>IF(L273="",0,VLOOKUP(L273,#REF!,2,FALSE))</f>
        <v>0</v>
      </c>
      <c r="O273" s="24">
        <f t="shared" si="9"/>
        <v>0</v>
      </c>
      <c r="P273" s="24">
        <f>IF(F273="Barrido","",O273)</f>
        <v>0</v>
      </c>
      <c r="Q273" s="24" t="str">
        <f>IF(F273="Barrido",O273,"")</f>
        <v/>
      </c>
      <c r="R273" s="24">
        <f>IF(I273&lt;&gt;"0",I273,"")</f>
        <v>0</v>
      </c>
      <c r="S273" s="22">
        <f>IF(J273&lt;&gt;"0",J273,"")</f>
        <v>0</v>
      </c>
      <c r="T273" s="23"/>
      <c r="U273" s="23"/>
      <c r="V273" s="23"/>
      <c r="W273" s="23"/>
      <c r="X273" s="23"/>
    </row>
    <row r="274" spans="1:24" x14ac:dyDescent="0.2">
      <c r="A274" s="18"/>
      <c r="B274" s="19" t="str">
        <f>IF(A274="","",VLOOKUP(Planilla!A274,#REF!,2,FALSE))</f>
        <v/>
      </c>
      <c r="C274" s="19" t="str">
        <f>IF(B274="","",VLOOKUP(Planilla!A274,#REF!,3,FALSE))</f>
        <v/>
      </c>
      <c r="D274" s="20"/>
      <c r="E274" s="21"/>
      <c r="F274" s="21"/>
      <c r="G274" s="21"/>
      <c r="H274" s="21"/>
      <c r="I274" s="36"/>
      <c r="J274" s="36"/>
      <c r="K274" s="21"/>
      <c r="L274" s="21"/>
      <c r="M274" s="24">
        <f>IF(K274="",0,VLOOKUP(K274,#REF!,2,FALSE))</f>
        <v>0</v>
      </c>
      <c r="N274" s="24">
        <f>IF(L274="",0,VLOOKUP(L274,#REF!,2,FALSE))</f>
        <v>0</v>
      </c>
      <c r="O274" s="24">
        <f t="shared" si="9"/>
        <v>0</v>
      </c>
      <c r="P274" s="24">
        <f>IF(F274="Barrido","",O274)</f>
        <v>0</v>
      </c>
      <c r="Q274" s="24" t="str">
        <f>IF(F274="Barrido",O274,"")</f>
        <v/>
      </c>
      <c r="R274" s="24">
        <f>IF(I274&lt;&gt;"0",I274,"")</f>
        <v>0</v>
      </c>
      <c r="S274" s="22">
        <f>IF(J274&lt;&gt;"0",J274,"")</f>
        <v>0</v>
      </c>
      <c r="T274" s="23"/>
      <c r="U274" s="23"/>
      <c r="V274" s="23"/>
      <c r="W274" s="23"/>
      <c r="X274" s="23"/>
    </row>
    <row r="275" spans="1:24" x14ac:dyDescent="0.2">
      <c r="A275" s="18"/>
      <c r="B275" s="19" t="str">
        <f>IF(A275="","",VLOOKUP(Planilla!A275,#REF!,2,FALSE))</f>
        <v/>
      </c>
      <c r="C275" s="19" t="str">
        <f>IF(B275="","",VLOOKUP(Planilla!A275,#REF!,3,FALSE))</f>
        <v/>
      </c>
      <c r="D275" s="20"/>
      <c r="E275" s="21"/>
      <c r="F275" s="21"/>
      <c r="G275" s="21"/>
      <c r="H275" s="21"/>
      <c r="I275" s="36"/>
      <c r="J275" s="36"/>
      <c r="K275" s="21"/>
      <c r="L275" s="21"/>
      <c r="M275" s="24">
        <f>IF(K275="",0,VLOOKUP(K275,#REF!,2,FALSE))</f>
        <v>0</v>
      </c>
      <c r="N275" s="24">
        <f>IF(L275="",0,VLOOKUP(L275,#REF!,2,FALSE))</f>
        <v>0</v>
      </c>
      <c r="O275" s="24">
        <f t="shared" si="9"/>
        <v>0</v>
      </c>
      <c r="P275" s="24">
        <f>IF(F275="Barrido","",O275)</f>
        <v>0</v>
      </c>
      <c r="Q275" s="24" t="str">
        <f>IF(F275="Barrido",O275,"")</f>
        <v/>
      </c>
      <c r="R275" s="24">
        <f>IF(I275&lt;&gt;"0",I275,"")</f>
        <v>0</v>
      </c>
      <c r="S275" s="22">
        <f>IF(J275&lt;&gt;"0",J275,"")</f>
        <v>0</v>
      </c>
      <c r="T275" s="23"/>
      <c r="U275" s="23"/>
      <c r="V275" s="23"/>
      <c r="W275" s="23"/>
      <c r="X275" s="23"/>
    </row>
    <row r="276" spans="1:24" x14ac:dyDescent="0.2">
      <c r="A276" s="18"/>
      <c r="B276" s="19" t="str">
        <f>IF(A276="","",VLOOKUP(Planilla!A276,#REF!,2,FALSE))</f>
        <v/>
      </c>
      <c r="C276" s="19" t="str">
        <f>IF(B276="","",VLOOKUP(Planilla!A276,#REF!,3,FALSE))</f>
        <v/>
      </c>
      <c r="D276" s="20"/>
      <c r="E276" s="21"/>
      <c r="F276" s="21"/>
      <c r="G276" s="21"/>
      <c r="H276" s="21"/>
      <c r="I276" s="36"/>
      <c r="J276" s="36"/>
      <c r="K276" s="21"/>
      <c r="L276" s="21"/>
      <c r="M276" s="24">
        <f>IF(K276="",0,VLOOKUP(K276,#REF!,2,FALSE))</f>
        <v>0</v>
      </c>
      <c r="N276" s="24">
        <f>IF(L276="",0,VLOOKUP(L276,#REF!,2,FALSE))</f>
        <v>0</v>
      </c>
      <c r="O276" s="24">
        <f t="shared" si="9"/>
        <v>0</v>
      </c>
      <c r="P276" s="24">
        <f>IF(F276="Barrido","",O276)</f>
        <v>0</v>
      </c>
      <c r="Q276" s="24" t="str">
        <f>IF(F276="Barrido",O276,"")</f>
        <v/>
      </c>
      <c r="R276" s="24">
        <f>IF(I276&lt;&gt;"0",I276,"")</f>
        <v>0</v>
      </c>
      <c r="S276" s="22">
        <f>IF(J276&lt;&gt;"0",J276,"")</f>
        <v>0</v>
      </c>
      <c r="T276" s="23"/>
      <c r="U276" s="23"/>
      <c r="V276" s="23"/>
      <c r="W276" s="23"/>
      <c r="X276" s="23"/>
    </row>
    <row r="277" spans="1:24" x14ac:dyDescent="0.2">
      <c r="A277" s="18"/>
      <c r="B277" s="19" t="str">
        <f>IF(A277="","",VLOOKUP(Planilla!A277,#REF!,2,FALSE))</f>
        <v/>
      </c>
      <c r="C277" s="19" t="str">
        <f>IF(B277="","",VLOOKUP(Planilla!A277,#REF!,3,FALSE))</f>
        <v/>
      </c>
      <c r="D277" s="20"/>
      <c r="E277" s="21"/>
      <c r="F277" s="21"/>
      <c r="G277" s="21"/>
      <c r="H277" s="21"/>
      <c r="I277" s="36"/>
      <c r="J277" s="36"/>
      <c r="K277" s="21"/>
      <c r="L277" s="21"/>
      <c r="M277" s="24">
        <f>IF(K277="",0,VLOOKUP(K277,#REF!,2,FALSE))</f>
        <v>0</v>
      </c>
      <c r="N277" s="24">
        <f>IF(L277="",0,VLOOKUP(L277,#REF!,2,FALSE))</f>
        <v>0</v>
      </c>
      <c r="O277" s="24">
        <f t="shared" si="9"/>
        <v>0</v>
      </c>
      <c r="P277" s="24">
        <f>IF(F277="Barrido","",O277)</f>
        <v>0</v>
      </c>
      <c r="Q277" s="24" t="str">
        <f>IF(F277="Barrido",O277,"")</f>
        <v/>
      </c>
      <c r="R277" s="24">
        <f>IF(I277&lt;&gt;"0",I277,"")</f>
        <v>0</v>
      </c>
      <c r="S277" s="22">
        <f>IF(J277&lt;&gt;"0",J277,"")</f>
        <v>0</v>
      </c>
      <c r="T277" s="23"/>
      <c r="U277" s="23"/>
      <c r="V277" s="23"/>
      <c r="W277" s="23"/>
      <c r="X277" s="23"/>
    </row>
    <row r="278" spans="1:24" x14ac:dyDescent="0.2">
      <c r="A278" s="18"/>
      <c r="B278" s="19" t="str">
        <f>IF(A278="","",VLOOKUP(Planilla!A278,#REF!,2,FALSE))</f>
        <v/>
      </c>
      <c r="C278" s="19" t="str">
        <f>IF(B278="","",VLOOKUP(Planilla!A278,#REF!,3,FALSE))</f>
        <v/>
      </c>
      <c r="D278" s="20"/>
      <c r="E278" s="21"/>
      <c r="F278" s="21"/>
      <c r="G278" s="21"/>
      <c r="H278" s="21"/>
      <c r="I278" s="36"/>
      <c r="J278" s="36"/>
      <c r="K278" s="21"/>
      <c r="L278" s="21"/>
      <c r="M278" s="24">
        <f>IF(K278="",0,VLOOKUP(K278,#REF!,2,FALSE))</f>
        <v>0</v>
      </c>
      <c r="N278" s="24">
        <f>IF(L278="",0,VLOOKUP(L278,#REF!,2,FALSE))</f>
        <v>0</v>
      </c>
      <c r="O278" s="24">
        <f t="shared" si="9"/>
        <v>0</v>
      </c>
      <c r="P278" s="24">
        <f>IF(F278="Barrido","",O278)</f>
        <v>0</v>
      </c>
      <c r="Q278" s="24" t="str">
        <f>IF(F278="Barrido",O278,"")</f>
        <v/>
      </c>
      <c r="R278" s="24">
        <f>IF(I278&lt;&gt;"0",I278,"")</f>
        <v>0</v>
      </c>
      <c r="S278" s="22">
        <f>IF(J278&lt;&gt;"0",J278,"")</f>
        <v>0</v>
      </c>
      <c r="T278" s="23"/>
      <c r="U278" s="23"/>
      <c r="V278" s="23"/>
      <c r="W278" s="23"/>
      <c r="X278" s="23"/>
    </row>
    <row r="279" spans="1:24" x14ac:dyDescent="0.2">
      <c r="A279" s="18"/>
      <c r="B279" s="19" t="str">
        <f>IF(A279="","",VLOOKUP(Planilla!A279,#REF!,2,FALSE))</f>
        <v/>
      </c>
      <c r="C279" s="19" t="str">
        <f>IF(B279="","",VLOOKUP(Planilla!A279,#REF!,3,FALSE))</f>
        <v/>
      </c>
      <c r="D279" s="20"/>
      <c r="E279" s="21"/>
      <c r="F279" s="21"/>
      <c r="G279" s="21"/>
      <c r="H279" s="21"/>
      <c r="I279" s="36"/>
      <c r="J279" s="36"/>
      <c r="K279" s="21"/>
      <c r="L279" s="21"/>
      <c r="M279" s="24">
        <f>IF(K279="",0,VLOOKUP(K279,#REF!,2,FALSE))</f>
        <v>0</v>
      </c>
      <c r="N279" s="24">
        <f>IF(L279="",0,VLOOKUP(L279,#REF!,2,FALSE))</f>
        <v>0</v>
      </c>
      <c r="O279" s="24">
        <f t="shared" si="9"/>
        <v>0</v>
      </c>
      <c r="P279" s="24">
        <f>IF(F279="Barrido","",O279)</f>
        <v>0</v>
      </c>
      <c r="Q279" s="24" t="str">
        <f>IF(F279="Barrido",O279,"")</f>
        <v/>
      </c>
      <c r="R279" s="24">
        <f>IF(I279&lt;&gt;"0",I279,"")</f>
        <v>0</v>
      </c>
      <c r="S279" s="22">
        <f>IF(J279&lt;&gt;"0",J279,"")</f>
        <v>0</v>
      </c>
      <c r="T279" s="23"/>
      <c r="U279" s="23"/>
      <c r="V279" s="23"/>
      <c r="W279" s="23"/>
      <c r="X279" s="23"/>
    </row>
    <row r="280" spans="1:24" x14ac:dyDescent="0.2">
      <c r="A280" s="18"/>
      <c r="B280" s="19" t="str">
        <f>IF(A280="","",VLOOKUP(Planilla!A280,#REF!,2,FALSE))</f>
        <v/>
      </c>
      <c r="C280" s="19" t="str">
        <f>IF(B280="","",VLOOKUP(Planilla!A280,#REF!,3,FALSE))</f>
        <v/>
      </c>
      <c r="D280" s="20"/>
      <c r="E280" s="21"/>
      <c r="F280" s="21"/>
      <c r="G280" s="21"/>
      <c r="H280" s="21"/>
      <c r="I280" s="36"/>
      <c r="J280" s="36"/>
      <c r="K280" s="21"/>
      <c r="L280" s="21"/>
      <c r="M280" s="24">
        <f>IF(K280="",0,VLOOKUP(K280,#REF!,2,FALSE))</f>
        <v>0</v>
      </c>
      <c r="N280" s="24">
        <f>IF(L280="",0,VLOOKUP(L280,#REF!,2,FALSE))</f>
        <v>0</v>
      </c>
      <c r="O280" s="24">
        <f t="shared" si="9"/>
        <v>0</v>
      </c>
      <c r="P280" s="24">
        <f>IF(F280="Barrido","",O280)</f>
        <v>0</v>
      </c>
      <c r="Q280" s="24" t="str">
        <f>IF(F280="Barrido",O280,"")</f>
        <v/>
      </c>
      <c r="R280" s="24">
        <f>IF(I280&lt;&gt;"0",I280,"")</f>
        <v>0</v>
      </c>
      <c r="S280" s="22">
        <f>IF(J280&lt;&gt;"0",J280,"")</f>
        <v>0</v>
      </c>
      <c r="T280" s="23"/>
      <c r="U280" s="23"/>
      <c r="V280" s="23"/>
      <c r="W280" s="23"/>
      <c r="X280" s="23"/>
    </row>
    <row r="281" spans="1:24" x14ac:dyDescent="0.2">
      <c r="A281" s="18"/>
      <c r="B281" s="19" t="str">
        <f>IF(A281="","",VLOOKUP(Planilla!A281,#REF!,2,FALSE))</f>
        <v/>
      </c>
      <c r="C281" s="19" t="str">
        <f>IF(B281="","",VLOOKUP(Planilla!A281,#REF!,3,FALSE))</f>
        <v/>
      </c>
      <c r="D281" s="20"/>
      <c r="E281" s="21"/>
      <c r="F281" s="21"/>
      <c r="G281" s="21"/>
      <c r="H281" s="21"/>
      <c r="I281" s="36"/>
      <c r="J281" s="36"/>
      <c r="K281" s="21"/>
      <c r="L281" s="21"/>
      <c r="M281" s="24">
        <f>IF(K281="",0,VLOOKUP(K281,#REF!,2,FALSE))</f>
        <v>0</v>
      </c>
      <c r="N281" s="24">
        <f>IF(L281="",0,VLOOKUP(L281,#REF!,2,FALSE))</f>
        <v>0</v>
      </c>
      <c r="O281" s="24">
        <f t="shared" si="9"/>
        <v>0</v>
      </c>
      <c r="P281" s="24">
        <f>IF(F281="Barrido","",O281)</f>
        <v>0</v>
      </c>
      <c r="Q281" s="24" t="str">
        <f>IF(F281="Barrido",O281,"")</f>
        <v/>
      </c>
      <c r="R281" s="24">
        <f>IF(I281&lt;&gt;"0",I281,"")</f>
        <v>0</v>
      </c>
      <c r="S281" s="22">
        <f>IF(J281&lt;&gt;"0",J281,"")</f>
        <v>0</v>
      </c>
      <c r="T281" s="23"/>
      <c r="U281" s="23"/>
      <c r="V281" s="23"/>
      <c r="W281" s="23"/>
      <c r="X281" s="23"/>
    </row>
    <row r="282" spans="1:24" x14ac:dyDescent="0.2">
      <c r="A282" s="18"/>
      <c r="B282" s="19" t="str">
        <f>IF(A282="","",VLOOKUP(Planilla!A282,#REF!,2,FALSE))</f>
        <v/>
      </c>
      <c r="C282" s="19" t="str">
        <f>IF(B282="","",VLOOKUP(Planilla!A282,#REF!,3,FALSE))</f>
        <v/>
      </c>
      <c r="D282" s="20"/>
      <c r="E282" s="21"/>
      <c r="F282" s="21"/>
      <c r="G282" s="21"/>
      <c r="H282" s="21"/>
      <c r="I282" s="36"/>
      <c r="J282" s="36"/>
      <c r="K282" s="21"/>
      <c r="L282" s="21"/>
      <c r="M282" s="24">
        <f>IF(K282="",0,VLOOKUP(K282,#REF!,2,FALSE))</f>
        <v>0</v>
      </c>
      <c r="N282" s="24">
        <f>IF(L282="",0,VLOOKUP(L282,#REF!,2,FALSE))</f>
        <v>0</v>
      </c>
      <c r="O282" s="24">
        <f t="shared" si="9"/>
        <v>0</v>
      </c>
      <c r="P282" s="24">
        <f>IF(F282="Barrido","",O282)</f>
        <v>0</v>
      </c>
      <c r="Q282" s="24" t="str">
        <f>IF(F282="Barrido",O282,"")</f>
        <v/>
      </c>
      <c r="R282" s="24">
        <f>IF(I282&lt;&gt;"0",I282,"")</f>
        <v>0</v>
      </c>
      <c r="S282" s="22">
        <f>IF(J282&lt;&gt;"0",J282,"")</f>
        <v>0</v>
      </c>
      <c r="T282" s="23"/>
      <c r="U282" s="23"/>
      <c r="V282" s="23"/>
      <c r="W282" s="23"/>
      <c r="X282" s="23"/>
    </row>
    <row r="283" spans="1:24" x14ac:dyDescent="0.2">
      <c r="A283" s="18"/>
      <c r="B283" s="19" t="str">
        <f>IF(A283="","",VLOOKUP(Planilla!A283,#REF!,2,FALSE))</f>
        <v/>
      </c>
      <c r="C283" s="19" t="str">
        <f>IF(B283="","",VLOOKUP(Planilla!A283,#REF!,3,FALSE))</f>
        <v/>
      </c>
      <c r="D283" s="20"/>
      <c r="E283" s="21"/>
      <c r="F283" s="21"/>
      <c r="G283" s="21"/>
      <c r="H283" s="21"/>
      <c r="I283" s="36"/>
      <c r="J283" s="36"/>
      <c r="K283" s="21"/>
      <c r="L283" s="21"/>
      <c r="M283" s="24">
        <f>IF(K283="",0,VLOOKUP(K283,#REF!,2,FALSE))</f>
        <v>0</v>
      </c>
      <c r="N283" s="24">
        <f>IF(L283="",0,VLOOKUP(L283,#REF!,2,FALSE))</f>
        <v>0</v>
      </c>
      <c r="O283" s="24">
        <f t="shared" si="9"/>
        <v>0</v>
      </c>
      <c r="P283" s="24">
        <f>IF(F283="Barrido","",O283)</f>
        <v>0</v>
      </c>
      <c r="Q283" s="24" t="str">
        <f>IF(F283="Barrido",O283,"")</f>
        <v/>
      </c>
      <c r="R283" s="24">
        <f>IF(I283&lt;&gt;"0",I283,"")</f>
        <v>0</v>
      </c>
      <c r="S283" s="22">
        <f>IF(J283&lt;&gt;"0",J283,"")</f>
        <v>0</v>
      </c>
      <c r="T283" s="23"/>
      <c r="U283" s="23"/>
      <c r="V283" s="23"/>
      <c r="W283" s="23"/>
      <c r="X283" s="23"/>
    </row>
    <row r="284" spans="1:24" x14ac:dyDescent="0.2">
      <c r="A284" s="18"/>
      <c r="B284" s="19" t="str">
        <f>IF(A284="","",VLOOKUP(Planilla!A284,#REF!,2,FALSE))</f>
        <v/>
      </c>
      <c r="C284" s="19" t="str">
        <f>IF(B284="","",VLOOKUP(Planilla!A284,#REF!,3,FALSE))</f>
        <v/>
      </c>
      <c r="D284" s="20"/>
      <c r="E284" s="21"/>
      <c r="F284" s="21"/>
      <c r="G284" s="21"/>
      <c r="H284" s="21"/>
      <c r="I284" s="36"/>
      <c r="J284" s="36"/>
      <c r="K284" s="21"/>
      <c r="L284" s="21"/>
      <c r="M284" s="24">
        <f>IF(K284="",0,VLOOKUP(K284,#REF!,2,FALSE))</f>
        <v>0</v>
      </c>
      <c r="N284" s="24">
        <f>IF(L284="",0,VLOOKUP(L284,#REF!,2,FALSE))</f>
        <v>0</v>
      </c>
      <c r="O284" s="24">
        <f t="shared" si="9"/>
        <v>0</v>
      </c>
      <c r="P284" s="24">
        <f>IF(F284="Barrido","",O284)</f>
        <v>0</v>
      </c>
      <c r="Q284" s="24" t="str">
        <f>IF(F284="Barrido",O284,"")</f>
        <v/>
      </c>
      <c r="R284" s="24">
        <f>IF(I284&lt;&gt;"0",I284,"")</f>
        <v>0</v>
      </c>
      <c r="S284" s="22">
        <f>IF(J284&lt;&gt;"0",J284,"")</f>
        <v>0</v>
      </c>
      <c r="T284" s="23"/>
      <c r="U284" s="23"/>
      <c r="V284" s="23"/>
      <c r="W284" s="23"/>
      <c r="X284" s="23"/>
    </row>
    <row r="285" spans="1:24" x14ac:dyDescent="0.2">
      <c r="A285" s="18"/>
      <c r="B285" s="19" t="str">
        <f>IF(A285="","",VLOOKUP(Planilla!A285,#REF!,2,FALSE))</f>
        <v/>
      </c>
      <c r="C285" s="19" t="str">
        <f>IF(B285="","",VLOOKUP(Planilla!A285,#REF!,3,FALSE))</f>
        <v/>
      </c>
      <c r="D285" s="20"/>
      <c r="E285" s="21"/>
      <c r="F285" s="21"/>
      <c r="G285" s="21"/>
      <c r="H285" s="21"/>
      <c r="I285" s="36"/>
      <c r="J285" s="36"/>
      <c r="K285" s="21"/>
      <c r="L285" s="21"/>
      <c r="M285" s="24">
        <f>IF(K285="",0,VLOOKUP(K285,#REF!,2,FALSE))</f>
        <v>0</v>
      </c>
      <c r="N285" s="24">
        <f>IF(L285="",0,VLOOKUP(L285,#REF!,2,FALSE))</f>
        <v>0</v>
      </c>
      <c r="O285" s="24">
        <f t="shared" si="9"/>
        <v>0</v>
      </c>
      <c r="P285" s="24">
        <f>IF(F285="Barrido","",O285)</f>
        <v>0</v>
      </c>
      <c r="Q285" s="24" t="str">
        <f>IF(F285="Barrido",O285,"")</f>
        <v/>
      </c>
      <c r="R285" s="24">
        <f>IF(I285&lt;&gt;"0",I285,"")</f>
        <v>0</v>
      </c>
      <c r="S285" s="22">
        <f>IF(J285&lt;&gt;"0",J285,"")</f>
        <v>0</v>
      </c>
      <c r="T285" s="23"/>
      <c r="U285" s="23"/>
      <c r="V285" s="23"/>
      <c r="W285" s="23"/>
      <c r="X285" s="23"/>
    </row>
    <row r="286" spans="1:24" x14ac:dyDescent="0.2">
      <c r="A286" s="18"/>
      <c r="B286" s="19" t="str">
        <f>IF(A286="","",VLOOKUP(Planilla!A286,#REF!,2,FALSE))</f>
        <v/>
      </c>
      <c r="C286" s="19" t="str">
        <f>IF(B286="","",VLOOKUP(Planilla!A286,#REF!,3,FALSE))</f>
        <v/>
      </c>
      <c r="D286" s="20"/>
      <c r="E286" s="21"/>
      <c r="F286" s="21"/>
      <c r="G286" s="21"/>
      <c r="H286" s="21"/>
      <c r="I286" s="36"/>
      <c r="J286" s="36"/>
      <c r="K286" s="21"/>
      <c r="L286" s="21"/>
      <c r="M286" s="24">
        <f>IF(K286="",0,VLOOKUP(K286,#REF!,2,FALSE))</f>
        <v>0</v>
      </c>
      <c r="N286" s="24">
        <f>IF(L286="",0,VLOOKUP(L286,#REF!,2,FALSE))</f>
        <v>0</v>
      </c>
      <c r="O286" s="24">
        <f t="shared" si="9"/>
        <v>0</v>
      </c>
      <c r="P286" s="24">
        <f>IF(F286="Barrido","",O286)</f>
        <v>0</v>
      </c>
      <c r="Q286" s="24" t="str">
        <f>IF(F286="Barrido",O286,"")</f>
        <v/>
      </c>
      <c r="R286" s="24">
        <f>IF(I286&lt;&gt;"0",I286,"")</f>
        <v>0</v>
      </c>
      <c r="S286" s="22">
        <f>IF(J286&lt;&gt;"0",J286,"")</f>
        <v>0</v>
      </c>
      <c r="T286" s="23"/>
      <c r="U286" s="23"/>
      <c r="V286" s="23"/>
      <c r="W286" s="23"/>
      <c r="X286" s="23"/>
    </row>
    <row r="287" spans="1:24" x14ac:dyDescent="0.2">
      <c r="A287" s="18"/>
      <c r="B287" s="19" t="str">
        <f>IF(A287="","",VLOOKUP(Planilla!A287,#REF!,2,FALSE))</f>
        <v/>
      </c>
      <c r="C287" s="19" t="str">
        <f>IF(B287="","",VLOOKUP(Planilla!A287,#REF!,3,FALSE))</f>
        <v/>
      </c>
      <c r="D287" s="20"/>
      <c r="E287" s="21"/>
      <c r="F287" s="21"/>
      <c r="G287" s="21"/>
      <c r="H287" s="21"/>
      <c r="I287" s="36"/>
      <c r="J287" s="36"/>
      <c r="K287" s="21"/>
      <c r="L287" s="21"/>
      <c r="M287" s="24">
        <f>IF(K287="",0,VLOOKUP(K287,#REF!,2,FALSE))</f>
        <v>0</v>
      </c>
      <c r="N287" s="24">
        <f>IF(L287="",0,VLOOKUP(L287,#REF!,2,FALSE))</f>
        <v>0</v>
      </c>
      <c r="O287" s="24">
        <f t="shared" si="9"/>
        <v>0</v>
      </c>
      <c r="P287" s="24">
        <f>IF(F287="Barrido","",O287)</f>
        <v>0</v>
      </c>
      <c r="Q287" s="24" t="str">
        <f>IF(F287="Barrido",O287,"")</f>
        <v/>
      </c>
      <c r="R287" s="24">
        <f>IF(I287&lt;&gt;"0",I287,"")</f>
        <v>0</v>
      </c>
      <c r="S287" s="22">
        <f>IF(J287&lt;&gt;"0",J287,"")</f>
        <v>0</v>
      </c>
      <c r="T287" s="23"/>
      <c r="U287" s="23"/>
      <c r="V287" s="23"/>
      <c r="W287" s="23"/>
      <c r="X287" s="23"/>
    </row>
    <row r="288" spans="1:24" x14ac:dyDescent="0.2">
      <c r="A288" s="18"/>
      <c r="B288" s="19" t="str">
        <f>IF(A288="","",VLOOKUP(Planilla!A288,#REF!,2,FALSE))</f>
        <v/>
      </c>
      <c r="C288" s="19" t="str">
        <f>IF(B288="","",VLOOKUP(Planilla!A288,#REF!,3,FALSE))</f>
        <v/>
      </c>
      <c r="D288" s="20"/>
      <c r="E288" s="21"/>
      <c r="F288" s="21"/>
      <c r="G288" s="21"/>
      <c r="H288" s="21"/>
      <c r="I288" s="36"/>
      <c r="J288" s="36"/>
      <c r="K288" s="21"/>
      <c r="L288" s="21"/>
      <c r="M288" s="24">
        <f>IF(K288="",0,VLOOKUP(K288,#REF!,2,FALSE))</f>
        <v>0</v>
      </c>
      <c r="N288" s="24">
        <f>IF(L288="",0,VLOOKUP(L288,#REF!,2,FALSE))</f>
        <v>0</v>
      </c>
      <c r="O288" s="24">
        <f t="shared" si="9"/>
        <v>0</v>
      </c>
      <c r="P288" s="24">
        <f>IF(F288="Barrido","",O288)</f>
        <v>0</v>
      </c>
      <c r="Q288" s="24" t="str">
        <f>IF(F288="Barrido",O288,"")</f>
        <v/>
      </c>
      <c r="R288" s="24">
        <f>IF(I288&lt;&gt;"0",I288,"")</f>
        <v>0</v>
      </c>
      <c r="S288" s="22">
        <f>IF(J288&lt;&gt;"0",J288,"")</f>
        <v>0</v>
      </c>
      <c r="T288" s="23"/>
      <c r="U288" s="23"/>
      <c r="V288" s="23"/>
      <c r="W288" s="23"/>
      <c r="X288" s="23"/>
    </row>
    <row r="289" spans="1:24" x14ac:dyDescent="0.2">
      <c r="A289" s="18"/>
      <c r="B289" s="19" t="str">
        <f>IF(A289="","",VLOOKUP(Planilla!A289,#REF!,2,FALSE))</f>
        <v/>
      </c>
      <c r="C289" s="19" t="str">
        <f>IF(B289="","",VLOOKUP(Planilla!A289,#REF!,3,FALSE))</f>
        <v/>
      </c>
      <c r="D289" s="20"/>
      <c r="E289" s="21"/>
      <c r="F289" s="21"/>
      <c r="G289" s="21"/>
      <c r="H289" s="21"/>
      <c r="I289" s="36"/>
      <c r="J289" s="36"/>
      <c r="K289" s="21"/>
      <c r="L289" s="21"/>
      <c r="M289" s="24">
        <f>IF(K289="",0,VLOOKUP(K289,#REF!,2,FALSE))</f>
        <v>0</v>
      </c>
      <c r="N289" s="24">
        <f>IF(L289="",0,VLOOKUP(L289,#REF!,2,FALSE))</f>
        <v>0</v>
      </c>
      <c r="O289" s="24">
        <f t="shared" si="9"/>
        <v>0</v>
      </c>
      <c r="P289" s="24">
        <f>IF(F289="Barrido","",O289)</f>
        <v>0</v>
      </c>
      <c r="Q289" s="24" t="str">
        <f>IF(F289="Barrido",O289,"")</f>
        <v/>
      </c>
      <c r="R289" s="24">
        <f>IF(I289&lt;&gt;"0",I289,"")</f>
        <v>0</v>
      </c>
      <c r="S289" s="22">
        <f>IF(J289&lt;&gt;"0",J289,"")</f>
        <v>0</v>
      </c>
      <c r="T289" s="23"/>
      <c r="U289" s="23"/>
      <c r="V289" s="23"/>
      <c r="W289" s="23"/>
      <c r="X289" s="23"/>
    </row>
    <row r="290" spans="1:24" x14ac:dyDescent="0.2">
      <c r="A290" s="18"/>
      <c r="B290" s="19" t="str">
        <f>IF(A290="","",VLOOKUP(Planilla!A290,#REF!,2,FALSE))</f>
        <v/>
      </c>
      <c r="C290" s="19" t="str">
        <f>IF(B290="","",VLOOKUP(Planilla!A290,#REF!,3,FALSE))</f>
        <v/>
      </c>
      <c r="D290" s="20"/>
      <c r="E290" s="21"/>
      <c r="F290" s="21"/>
      <c r="G290" s="21"/>
      <c r="H290" s="21"/>
      <c r="I290" s="36"/>
      <c r="J290" s="36"/>
      <c r="K290" s="21"/>
      <c r="L290" s="21"/>
      <c r="M290" s="24">
        <f>IF(K290="",0,VLOOKUP(K290,#REF!,2,FALSE))</f>
        <v>0</v>
      </c>
      <c r="N290" s="24">
        <f>IF(L290="",0,VLOOKUP(L290,#REF!,2,FALSE))</f>
        <v>0</v>
      </c>
      <c r="O290" s="24">
        <f t="shared" si="9"/>
        <v>0</v>
      </c>
      <c r="P290" s="24">
        <f>IF(F290="Barrido","",O290)</f>
        <v>0</v>
      </c>
      <c r="Q290" s="24" t="str">
        <f>IF(F290="Barrido",O290,"")</f>
        <v/>
      </c>
      <c r="R290" s="24">
        <f>IF(I290&lt;&gt;"0",I290,"")</f>
        <v>0</v>
      </c>
      <c r="S290" s="22">
        <f>IF(J290&lt;&gt;"0",J290,"")</f>
        <v>0</v>
      </c>
      <c r="T290" s="23"/>
      <c r="U290" s="23"/>
      <c r="V290" s="23"/>
      <c r="W290" s="23"/>
      <c r="X290" s="23"/>
    </row>
    <row r="291" spans="1:24" x14ac:dyDescent="0.2">
      <c r="A291" s="18"/>
      <c r="B291" s="19" t="str">
        <f>IF(A291="","",VLOOKUP(Planilla!A291,#REF!,2,FALSE))</f>
        <v/>
      </c>
      <c r="C291" s="19" t="str">
        <f>IF(B291="","",VLOOKUP(Planilla!A291,#REF!,3,FALSE))</f>
        <v/>
      </c>
      <c r="D291" s="20"/>
      <c r="E291" s="21"/>
      <c r="F291" s="21"/>
      <c r="G291" s="21"/>
      <c r="H291" s="21"/>
      <c r="I291" s="36"/>
      <c r="J291" s="36"/>
      <c r="K291" s="21"/>
      <c r="L291" s="21"/>
      <c r="M291" s="24">
        <f>IF(K291="",0,VLOOKUP(K291,#REF!,2,FALSE))</f>
        <v>0</v>
      </c>
      <c r="N291" s="24">
        <f>IF(L291="",0,VLOOKUP(L291,#REF!,2,FALSE))</f>
        <v>0</v>
      </c>
      <c r="O291" s="24">
        <f t="shared" si="9"/>
        <v>0</v>
      </c>
      <c r="P291" s="24">
        <f>IF(F291="Barrido","",O291)</f>
        <v>0</v>
      </c>
      <c r="Q291" s="24" t="str">
        <f>IF(F291="Barrido",O291,"")</f>
        <v/>
      </c>
      <c r="R291" s="24">
        <f>IF(I291&lt;&gt;"0",I291,"")</f>
        <v>0</v>
      </c>
      <c r="S291" s="22">
        <f>IF(J291&lt;&gt;"0",J291,"")</f>
        <v>0</v>
      </c>
      <c r="T291" s="23"/>
      <c r="U291" s="23"/>
      <c r="V291" s="23"/>
      <c r="W291" s="23"/>
      <c r="X291" s="23"/>
    </row>
    <row r="292" spans="1:24" x14ac:dyDescent="0.2">
      <c r="A292" s="18"/>
      <c r="B292" s="19" t="str">
        <f>IF(A292="","",VLOOKUP(Planilla!A292,#REF!,2,FALSE))</f>
        <v/>
      </c>
      <c r="C292" s="19" t="str">
        <f>IF(B292="","",VLOOKUP(Planilla!A292,#REF!,3,FALSE))</f>
        <v/>
      </c>
      <c r="D292" s="20"/>
      <c r="E292" s="21"/>
      <c r="F292" s="21"/>
      <c r="G292" s="21"/>
      <c r="H292" s="21"/>
      <c r="I292" s="36"/>
      <c r="J292" s="36"/>
      <c r="K292" s="21"/>
      <c r="L292" s="21"/>
      <c r="M292" s="24">
        <f>IF(K292="",0,VLOOKUP(K292,#REF!,2,FALSE))</f>
        <v>0</v>
      </c>
      <c r="N292" s="24">
        <f>IF(L292="",0,VLOOKUP(L292,#REF!,2,FALSE))</f>
        <v>0</v>
      </c>
      <c r="O292" s="24">
        <f t="shared" si="9"/>
        <v>0</v>
      </c>
      <c r="P292" s="24">
        <f>IF(F292="Barrido","",O292)</f>
        <v>0</v>
      </c>
      <c r="Q292" s="24" t="str">
        <f>IF(F292="Barrido",O292,"")</f>
        <v/>
      </c>
      <c r="R292" s="24">
        <f>IF(I292&lt;&gt;"0",I292,"")</f>
        <v>0</v>
      </c>
      <c r="S292" s="22">
        <f>IF(J292&lt;&gt;"0",J292,"")</f>
        <v>0</v>
      </c>
      <c r="T292" s="23"/>
      <c r="U292" s="23"/>
      <c r="V292" s="23"/>
      <c r="W292" s="23"/>
      <c r="X292" s="23"/>
    </row>
    <row r="293" spans="1:24" x14ac:dyDescent="0.2">
      <c r="A293" s="18"/>
      <c r="B293" s="19" t="str">
        <f>IF(A293="","",VLOOKUP(Planilla!A293,#REF!,2,FALSE))</f>
        <v/>
      </c>
      <c r="C293" s="19" t="str">
        <f>IF(B293="","",VLOOKUP(Planilla!A293,#REF!,3,FALSE))</f>
        <v/>
      </c>
      <c r="D293" s="20"/>
      <c r="E293" s="21"/>
      <c r="F293" s="21"/>
      <c r="G293" s="21"/>
      <c r="H293" s="21"/>
      <c r="I293" s="36"/>
      <c r="J293" s="36"/>
      <c r="K293" s="21"/>
      <c r="L293" s="21"/>
      <c r="M293" s="24">
        <f>IF(K293="",0,VLOOKUP(K293,#REF!,2,FALSE))</f>
        <v>0</v>
      </c>
      <c r="N293" s="24">
        <f>IF(L293="",0,VLOOKUP(L293,#REF!,2,FALSE))</f>
        <v>0</v>
      </c>
      <c r="O293" s="24">
        <f t="shared" si="9"/>
        <v>0</v>
      </c>
      <c r="P293" s="24">
        <f>IF(F293="Barrido","",O293)</f>
        <v>0</v>
      </c>
      <c r="Q293" s="24" t="str">
        <f>IF(F293="Barrido",O293,"")</f>
        <v/>
      </c>
      <c r="R293" s="24">
        <f>IF(I293&lt;&gt;"0",I293,"")</f>
        <v>0</v>
      </c>
      <c r="S293" s="22">
        <f>IF(J293&lt;&gt;"0",J293,"")</f>
        <v>0</v>
      </c>
      <c r="T293" s="23"/>
      <c r="U293" s="23"/>
      <c r="V293" s="23"/>
      <c r="W293" s="23"/>
      <c r="X293" s="23"/>
    </row>
    <row r="294" spans="1:24" x14ac:dyDescent="0.2">
      <c r="A294" s="18"/>
      <c r="B294" s="19" t="str">
        <f>IF(A294="","",VLOOKUP(Planilla!A294,#REF!,2,FALSE))</f>
        <v/>
      </c>
      <c r="C294" s="19" t="str">
        <f>IF(B294="","",VLOOKUP(Planilla!A294,#REF!,3,FALSE))</f>
        <v/>
      </c>
      <c r="D294" s="20"/>
      <c r="E294" s="21"/>
      <c r="F294" s="21"/>
      <c r="G294" s="21"/>
      <c r="H294" s="21"/>
      <c r="I294" s="36"/>
      <c r="J294" s="36"/>
      <c r="K294" s="21"/>
      <c r="L294" s="21"/>
      <c r="M294" s="24">
        <f>IF(K294="",0,VLOOKUP(K294,#REF!,2,FALSE))</f>
        <v>0</v>
      </c>
      <c r="N294" s="24">
        <f>IF(L294="",0,VLOOKUP(L294,#REF!,2,FALSE))</f>
        <v>0</v>
      </c>
      <c r="O294" s="24">
        <f t="shared" si="9"/>
        <v>0</v>
      </c>
      <c r="P294" s="24">
        <f>IF(F294="Barrido","",O294)</f>
        <v>0</v>
      </c>
      <c r="Q294" s="24" t="str">
        <f>IF(F294="Barrido",O294,"")</f>
        <v/>
      </c>
      <c r="R294" s="24">
        <f>IF(I294&lt;&gt;"0",I294,"")</f>
        <v>0</v>
      </c>
      <c r="S294" s="22">
        <f>IF(J294&lt;&gt;"0",J294,"")</f>
        <v>0</v>
      </c>
      <c r="T294" s="23"/>
      <c r="U294" s="23"/>
      <c r="V294" s="23"/>
      <c r="W294" s="23"/>
      <c r="X294" s="23"/>
    </row>
    <row r="295" spans="1:24" x14ac:dyDescent="0.2">
      <c r="A295" s="18"/>
      <c r="B295" s="19" t="str">
        <f>IF(A295="","",VLOOKUP(Planilla!A295,#REF!,2,FALSE))</f>
        <v/>
      </c>
      <c r="C295" s="19" t="str">
        <f>IF(B295="","",VLOOKUP(Planilla!A295,#REF!,3,FALSE))</f>
        <v/>
      </c>
      <c r="D295" s="20"/>
      <c r="E295" s="21"/>
      <c r="F295" s="21"/>
      <c r="G295" s="21"/>
      <c r="H295" s="21"/>
      <c r="I295" s="36"/>
      <c r="J295" s="36"/>
      <c r="K295" s="21"/>
      <c r="L295" s="21"/>
      <c r="M295" s="24">
        <f>IF(K295="",0,VLOOKUP(K295,#REF!,2,FALSE))</f>
        <v>0</v>
      </c>
      <c r="N295" s="24">
        <f>IF(L295="",0,VLOOKUP(L295,#REF!,2,FALSE))</f>
        <v>0</v>
      </c>
      <c r="O295" s="24">
        <f t="shared" si="9"/>
        <v>0</v>
      </c>
      <c r="P295" s="24">
        <f>IF(F295="Barrido","",O295)</f>
        <v>0</v>
      </c>
      <c r="Q295" s="24" t="str">
        <f>IF(F295="Barrido",O295,"")</f>
        <v/>
      </c>
      <c r="R295" s="24">
        <f>IF(I295&lt;&gt;"0",I295,"")</f>
        <v>0</v>
      </c>
      <c r="S295" s="22">
        <f>IF(J295&lt;&gt;"0",J295,"")</f>
        <v>0</v>
      </c>
      <c r="T295" s="23"/>
      <c r="U295" s="23"/>
      <c r="V295" s="23"/>
      <c r="W295" s="23"/>
      <c r="X295" s="23"/>
    </row>
    <row r="296" spans="1:24" x14ac:dyDescent="0.2">
      <c r="A296" s="18"/>
      <c r="B296" s="19" t="str">
        <f>IF(A296="","",VLOOKUP(Planilla!A296,#REF!,2,FALSE))</f>
        <v/>
      </c>
      <c r="C296" s="19" t="str">
        <f>IF(B296="","",VLOOKUP(Planilla!A296,#REF!,3,FALSE))</f>
        <v/>
      </c>
      <c r="D296" s="20"/>
      <c r="E296" s="21"/>
      <c r="F296" s="21"/>
      <c r="G296" s="21"/>
      <c r="H296" s="21"/>
      <c r="I296" s="36"/>
      <c r="J296" s="36"/>
      <c r="K296" s="21"/>
      <c r="L296" s="21"/>
      <c r="M296" s="24">
        <f>IF(K296="",0,VLOOKUP(K296,#REF!,2,FALSE))</f>
        <v>0</v>
      </c>
      <c r="N296" s="24">
        <f>IF(L296="",0,VLOOKUP(L296,#REF!,2,FALSE))</f>
        <v>0</v>
      </c>
      <c r="O296" s="24">
        <f t="shared" si="9"/>
        <v>0</v>
      </c>
      <c r="P296" s="24">
        <f>IF(F296="Barrido","",O296)</f>
        <v>0</v>
      </c>
      <c r="Q296" s="24" t="str">
        <f>IF(F296="Barrido",O296,"")</f>
        <v/>
      </c>
      <c r="R296" s="24">
        <f>IF(I296&lt;&gt;"0",I296,"")</f>
        <v>0</v>
      </c>
      <c r="S296" s="22">
        <f>IF(J296&lt;&gt;"0",J296,"")</f>
        <v>0</v>
      </c>
      <c r="T296" s="23"/>
      <c r="U296" s="23"/>
      <c r="V296" s="23"/>
      <c r="W296" s="23"/>
      <c r="X296" s="23"/>
    </row>
    <row r="297" spans="1:24" x14ac:dyDescent="0.2">
      <c r="A297" s="18"/>
      <c r="B297" s="19" t="str">
        <f>IF(A297="","",VLOOKUP(Planilla!A297,#REF!,2,FALSE))</f>
        <v/>
      </c>
      <c r="C297" s="19" t="str">
        <f>IF(B297="","",VLOOKUP(Planilla!A297,#REF!,3,FALSE))</f>
        <v/>
      </c>
      <c r="D297" s="20"/>
      <c r="E297" s="21"/>
      <c r="F297" s="21"/>
      <c r="G297" s="21"/>
      <c r="H297" s="21"/>
      <c r="I297" s="36"/>
      <c r="J297" s="36"/>
      <c r="K297" s="21"/>
      <c r="L297" s="21"/>
      <c r="M297" s="24">
        <f>IF(K297="",0,VLOOKUP(K297,#REF!,2,FALSE))</f>
        <v>0</v>
      </c>
      <c r="N297" s="24">
        <f>IF(L297="",0,VLOOKUP(L297,#REF!,2,FALSE))</f>
        <v>0</v>
      </c>
      <c r="O297" s="24">
        <f t="shared" si="9"/>
        <v>0</v>
      </c>
      <c r="P297" s="24">
        <f>IF(F297="Barrido","",O297)</f>
        <v>0</v>
      </c>
      <c r="Q297" s="24" t="str">
        <f>IF(F297="Barrido",O297,"")</f>
        <v/>
      </c>
      <c r="R297" s="24">
        <f>IF(I297&lt;&gt;"0",I297,"")</f>
        <v>0</v>
      </c>
      <c r="S297" s="22">
        <f>IF(J297&lt;&gt;"0",J297,"")</f>
        <v>0</v>
      </c>
      <c r="T297" s="23"/>
      <c r="U297" s="23"/>
      <c r="V297" s="23"/>
      <c r="W297" s="23"/>
      <c r="X297" s="23"/>
    </row>
    <row r="298" spans="1:24" x14ac:dyDescent="0.2">
      <c r="A298" s="18"/>
      <c r="B298" s="19" t="str">
        <f>IF(A298="","",VLOOKUP(Planilla!A298,#REF!,2,FALSE))</f>
        <v/>
      </c>
      <c r="C298" s="19" t="str">
        <f>IF(B298="","",VLOOKUP(Planilla!A298,#REF!,3,FALSE))</f>
        <v/>
      </c>
      <c r="D298" s="20"/>
      <c r="E298" s="21"/>
      <c r="F298" s="21"/>
      <c r="G298" s="21"/>
      <c r="H298" s="21"/>
      <c r="I298" s="36"/>
      <c r="J298" s="36"/>
      <c r="K298" s="21"/>
      <c r="L298" s="21"/>
      <c r="M298" s="24">
        <f>IF(K298="",0,VLOOKUP(K298,#REF!,2,FALSE))</f>
        <v>0</v>
      </c>
      <c r="N298" s="24">
        <f>IF(L298="",0,VLOOKUP(L298,#REF!,2,FALSE))</f>
        <v>0</v>
      </c>
      <c r="O298" s="24">
        <f t="shared" si="9"/>
        <v>0</v>
      </c>
      <c r="P298" s="24">
        <f>IF(F298="Barrido","",O298)</f>
        <v>0</v>
      </c>
      <c r="Q298" s="24" t="str">
        <f>IF(F298="Barrido",O298,"")</f>
        <v/>
      </c>
      <c r="R298" s="24">
        <f>IF(I298&lt;&gt;"0",I298,"")</f>
        <v>0</v>
      </c>
      <c r="S298" s="22">
        <f>IF(J298&lt;&gt;"0",J298,"")</f>
        <v>0</v>
      </c>
      <c r="T298" s="23"/>
      <c r="U298" s="23"/>
      <c r="V298" s="23"/>
      <c r="W298" s="23"/>
      <c r="X298" s="23"/>
    </row>
    <row r="299" spans="1:24" x14ac:dyDescent="0.2">
      <c r="A299" s="18"/>
      <c r="B299" s="19" t="str">
        <f>IF(A299="","",VLOOKUP(Planilla!A299,#REF!,2,FALSE))</f>
        <v/>
      </c>
      <c r="C299" s="19" t="str">
        <f>IF(B299="","",VLOOKUP(Planilla!A299,#REF!,3,FALSE))</f>
        <v/>
      </c>
      <c r="D299" s="20"/>
      <c r="E299" s="21"/>
      <c r="F299" s="21"/>
      <c r="G299" s="21"/>
      <c r="H299" s="21"/>
      <c r="I299" s="36"/>
      <c r="J299" s="36"/>
      <c r="K299" s="21"/>
      <c r="L299" s="21"/>
      <c r="M299" s="24">
        <f>IF(K299="",0,VLOOKUP(K299,#REF!,2,FALSE))</f>
        <v>0</v>
      </c>
      <c r="N299" s="24">
        <f>IF(L299="",0,VLOOKUP(L299,#REF!,2,FALSE))</f>
        <v>0</v>
      </c>
      <c r="O299" s="24">
        <f t="shared" si="9"/>
        <v>0</v>
      </c>
      <c r="P299" s="24">
        <f>IF(F299="Barrido","",O299)</f>
        <v>0</v>
      </c>
      <c r="Q299" s="24" t="str">
        <f>IF(F299="Barrido",O299,"")</f>
        <v/>
      </c>
      <c r="R299" s="24">
        <f>IF(I299&lt;&gt;"0",I299,"")</f>
        <v>0</v>
      </c>
      <c r="S299" s="22">
        <f>IF(J299&lt;&gt;"0",J299,"")</f>
        <v>0</v>
      </c>
      <c r="T299" s="23"/>
      <c r="U299" s="23"/>
      <c r="V299" s="23"/>
      <c r="W299" s="23"/>
      <c r="X299" s="23"/>
    </row>
    <row r="300" spans="1:24" x14ac:dyDescent="0.2">
      <c r="A300" s="18"/>
      <c r="B300" s="19" t="str">
        <f>IF(A300="","",VLOOKUP(Planilla!A300,#REF!,2,FALSE))</f>
        <v/>
      </c>
      <c r="C300" s="19" t="str">
        <f>IF(B300="","",VLOOKUP(Planilla!A300,#REF!,3,FALSE))</f>
        <v/>
      </c>
      <c r="D300" s="20"/>
      <c r="E300" s="21"/>
      <c r="F300" s="21"/>
      <c r="G300" s="21"/>
      <c r="H300" s="21"/>
      <c r="I300" s="36"/>
      <c r="J300" s="36"/>
      <c r="K300" s="21"/>
      <c r="L300" s="21"/>
      <c r="M300" s="24">
        <f>IF(K300="",0,VLOOKUP(K300,#REF!,2,FALSE))</f>
        <v>0</v>
      </c>
      <c r="N300" s="24">
        <f>IF(L300="",0,VLOOKUP(L300,#REF!,2,FALSE))</f>
        <v>0</v>
      </c>
      <c r="O300" s="24">
        <f t="shared" si="9"/>
        <v>0</v>
      </c>
      <c r="P300" s="24">
        <f>IF(F300="Barrido","",O300)</f>
        <v>0</v>
      </c>
      <c r="Q300" s="24" t="str">
        <f>IF(F300="Barrido",O300,"")</f>
        <v/>
      </c>
      <c r="R300" s="24">
        <f>IF(I300&lt;&gt;"0",I300,"")</f>
        <v>0</v>
      </c>
      <c r="S300" s="22">
        <f>IF(J300&lt;&gt;"0",J300,"")</f>
        <v>0</v>
      </c>
      <c r="T300" s="23"/>
      <c r="U300" s="23"/>
      <c r="V300" s="23"/>
      <c r="W300" s="23"/>
      <c r="X300" s="23"/>
    </row>
    <row r="301" spans="1:24" x14ac:dyDescent="0.2">
      <c r="A301" s="18"/>
      <c r="B301" s="19" t="str">
        <f>IF(A301="","",VLOOKUP(Planilla!A301,#REF!,2,FALSE))</f>
        <v/>
      </c>
      <c r="C301" s="19" t="str">
        <f>IF(B301="","",VLOOKUP(Planilla!A301,#REF!,3,FALSE))</f>
        <v/>
      </c>
      <c r="D301" s="20"/>
      <c r="E301" s="21"/>
      <c r="F301" s="21"/>
      <c r="G301" s="21"/>
      <c r="H301" s="21"/>
      <c r="I301" s="36"/>
      <c r="J301" s="36"/>
      <c r="K301" s="21"/>
      <c r="L301" s="21"/>
      <c r="M301" s="24">
        <f>IF(K301="",0,VLOOKUP(K301,#REF!,2,FALSE))</f>
        <v>0</v>
      </c>
      <c r="N301" s="24">
        <f>IF(L301="",0,VLOOKUP(L301,#REF!,2,FALSE))</f>
        <v>0</v>
      </c>
      <c r="O301" s="24">
        <f t="shared" si="9"/>
        <v>0</v>
      </c>
      <c r="P301" s="24">
        <f>IF(F301="Barrido","",O301)</f>
        <v>0</v>
      </c>
      <c r="Q301" s="24" t="str">
        <f>IF(F301="Barrido",O301,"")</f>
        <v/>
      </c>
      <c r="R301" s="24">
        <f>IF(I301&lt;&gt;"0",I301,"")</f>
        <v>0</v>
      </c>
      <c r="S301" s="22">
        <f>IF(J301&lt;&gt;"0",J301,"")</f>
        <v>0</v>
      </c>
      <c r="T301" s="23"/>
      <c r="U301" s="23"/>
      <c r="V301" s="23"/>
      <c r="W301" s="23"/>
      <c r="X301" s="23"/>
    </row>
    <row r="302" spans="1:24" x14ac:dyDescent="0.2">
      <c r="A302" s="18"/>
      <c r="B302" s="19" t="str">
        <f>IF(A302="","",VLOOKUP(Planilla!A302,#REF!,2,FALSE))</f>
        <v/>
      </c>
      <c r="C302" s="19" t="str">
        <f>IF(B302="","",VLOOKUP(Planilla!A302,#REF!,3,FALSE))</f>
        <v/>
      </c>
      <c r="D302" s="20"/>
      <c r="E302" s="21"/>
      <c r="F302" s="21"/>
      <c r="G302" s="21"/>
      <c r="H302" s="21"/>
      <c r="I302" s="36"/>
      <c r="J302" s="36"/>
      <c r="K302" s="21"/>
      <c r="L302" s="21"/>
      <c r="M302" s="24">
        <f>IF(K302="",0,VLOOKUP(K302,#REF!,2,FALSE))</f>
        <v>0</v>
      </c>
      <c r="N302" s="24">
        <f>IF(L302="",0,VLOOKUP(L302,#REF!,2,FALSE))</f>
        <v>0</v>
      </c>
      <c r="O302" s="24">
        <f t="shared" si="9"/>
        <v>0</v>
      </c>
      <c r="P302" s="24">
        <f>IF(F302="Barrido","",O302)</f>
        <v>0</v>
      </c>
      <c r="Q302" s="24" t="str">
        <f>IF(F302="Barrido",O302,"")</f>
        <v/>
      </c>
      <c r="R302" s="24">
        <f>IF(I302&lt;&gt;"0",I302,"")</f>
        <v>0</v>
      </c>
      <c r="S302" s="22">
        <f>IF(J302&lt;&gt;"0",J302,"")</f>
        <v>0</v>
      </c>
      <c r="T302" s="23"/>
      <c r="U302" s="23"/>
      <c r="V302" s="23"/>
      <c r="W302" s="23"/>
      <c r="X302" s="23"/>
    </row>
    <row r="303" spans="1:24" x14ac:dyDescent="0.2">
      <c r="A303" s="18"/>
      <c r="B303" s="19" t="str">
        <f>IF(A303="","",VLOOKUP(Planilla!A303,#REF!,2,FALSE))</f>
        <v/>
      </c>
      <c r="C303" s="19" t="str">
        <f>IF(B303="","",VLOOKUP(Planilla!A303,#REF!,3,FALSE))</f>
        <v/>
      </c>
      <c r="D303" s="20"/>
      <c r="E303" s="21"/>
      <c r="F303" s="21"/>
      <c r="G303" s="21"/>
      <c r="H303" s="21"/>
      <c r="I303" s="36"/>
      <c r="J303" s="36"/>
      <c r="K303" s="21"/>
      <c r="L303" s="21"/>
      <c r="M303" s="24">
        <f>IF(K303="",0,VLOOKUP(K303,#REF!,2,FALSE))</f>
        <v>0</v>
      </c>
      <c r="N303" s="24">
        <f>IF(L303="",0,VLOOKUP(L303,#REF!,2,FALSE))</f>
        <v>0</v>
      </c>
      <c r="O303" s="24">
        <f t="shared" si="9"/>
        <v>0</v>
      </c>
      <c r="P303" s="24">
        <f>IF(F303="Barrido","",O303)</f>
        <v>0</v>
      </c>
      <c r="Q303" s="24" t="str">
        <f>IF(F303="Barrido",O303,"")</f>
        <v/>
      </c>
      <c r="R303" s="24">
        <f>IF(I303&lt;&gt;"0",I303,"")</f>
        <v>0</v>
      </c>
      <c r="S303" s="22">
        <f>IF(J303&lt;&gt;"0",J303,"")</f>
        <v>0</v>
      </c>
      <c r="T303" s="23"/>
      <c r="U303" s="23"/>
      <c r="V303" s="23"/>
      <c r="W303" s="23"/>
      <c r="X303" s="23"/>
    </row>
    <row r="304" spans="1:24" x14ac:dyDescent="0.2">
      <c r="A304" s="18"/>
      <c r="B304" s="19" t="str">
        <f>IF(A304="","",VLOOKUP(Planilla!A304,#REF!,2,FALSE))</f>
        <v/>
      </c>
      <c r="C304" s="19" t="str">
        <f>IF(B304="","",VLOOKUP(Planilla!A304,#REF!,3,FALSE))</f>
        <v/>
      </c>
      <c r="D304" s="20"/>
      <c r="E304" s="21"/>
      <c r="F304" s="21"/>
      <c r="G304" s="21"/>
      <c r="H304" s="21"/>
      <c r="I304" s="36"/>
      <c r="J304" s="36"/>
      <c r="K304" s="21"/>
      <c r="L304" s="21"/>
      <c r="M304" s="24">
        <f>IF(K304="",0,VLOOKUP(K304,#REF!,2,FALSE))</f>
        <v>0</v>
      </c>
      <c r="N304" s="24">
        <f>IF(L304="",0,VLOOKUP(L304,#REF!,2,FALSE))</f>
        <v>0</v>
      </c>
      <c r="O304" s="24">
        <f t="shared" si="9"/>
        <v>0</v>
      </c>
      <c r="P304" s="24">
        <f>IF(F304="Barrido","",O304)</f>
        <v>0</v>
      </c>
      <c r="Q304" s="24" t="str">
        <f>IF(F304="Barrido",O304,"")</f>
        <v/>
      </c>
      <c r="R304" s="24">
        <f>IF(I304&lt;&gt;"0",I304,"")</f>
        <v>0</v>
      </c>
      <c r="S304" s="22">
        <f>IF(J304&lt;&gt;"0",J304,"")</f>
        <v>0</v>
      </c>
      <c r="T304" s="23"/>
      <c r="U304" s="23"/>
      <c r="V304" s="23"/>
      <c r="W304" s="23"/>
      <c r="X304" s="23"/>
    </row>
    <row r="305" spans="1:24" x14ac:dyDescent="0.2">
      <c r="A305" s="18"/>
      <c r="B305" s="19" t="str">
        <f>IF(A305="","",VLOOKUP(Planilla!A305,#REF!,2,FALSE))</f>
        <v/>
      </c>
      <c r="C305" s="19" t="str">
        <f>IF(B305="","",VLOOKUP(Planilla!A305,#REF!,3,FALSE))</f>
        <v/>
      </c>
      <c r="D305" s="20"/>
      <c r="E305" s="21"/>
      <c r="F305" s="21"/>
      <c r="G305" s="21"/>
      <c r="H305" s="21"/>
      <c r="I305" s="36"/>
      <c r="J305" s="36"/>
      <c r="K305" s="21"/>
      <c r="L305" s="21"/>
      <c r="M305" s="24">
        <f>IF(K305="",0,VLOOKUP(K305,#REF!,2,FALSE))</f>
        <v>0</v>
      </c>
      <c r="N305" s="24">
        <f>IF(L305="",0,VLOOKUP(L305,#REF!,2,FALSE))</f>
        <v>0</v>
      </c>
      <c r="O305" s="24">
        <f t="shared" si="9"/>
        <v>0</v>
      </c>
      <c r="P305" s="24">
        <f>IF(F305="Barrido","",O305)</f>
        <v>0</v>
      </c>
      <c r="Q305" s="24" t="str">
        <f>IF(F305="Barrido",O305,"")</f>
        <v/>
      </c>
      <c r="R305" s="24">
        <f>IF(I305&lt;&gt;"0",I305,"")</f>
        <v>0</v>
      </c>
      <c r="S305" s="22">
        <f>IF(J305&lt;&gt;"0",J305,"")</f>
        <v>0</v>
      </c>
      <c r="T305" s="23"/>
      <c r="U305" s="23"/>
      <c r="V305" s="23"/>
      <c r="W305" s="23"/>
      <c r="X305" s="23"/>
    </row>
    <row r="306" spans="1:24" x14ac:dyDescent="0.2">
      <c r="A306" s="18"/>
      <c r="B306" s="19" t="str">
        <f>IF(A306="","",VLOOKUP(Planilla!A306,#REF!,2,FALSE))</f>
        <v/>
      </c>
      <c r="C306" s="19" t="str">
        <f>IF(B306="","",VLOOKUP(Planilla!A306,#REF!,3,FALSE))</f>
        <v/>
      </c>
      <c r="D306" s="20"/>
      <c r="E306" s="21"/>
      <c r="F306" s="21"/>
      <c r="G306" s="21"/>
      <c r="H306" s="21"/>
      <c r="I306" s="36"/>
      <c r="J306" s="36"/>
      <c r="K306" s="21"/>
      <c r="L306" s="21"/>
      <c r="M306" s="24">
        <f>IF(K306="",0,VLOOKUP(K306,#REF!,2,FALSE))</f>
        <v>0</v>
      </c>
      <c r="N306" s="24">
        <f>IF(L306="",0,VLOOKUP(L306,#REF!,2,FALSE))</f>
        <v>0</v>
      </c>
      <c r="O306" s="24">
        <f t="shared" si="9"/>
        <v>0</v>
      </c>
      <c r="P306" s="24">
        <f>IF(F306="Barrido","",O306)</f>
        <v>0</v>
      </c>
      <c r="Q306" s="24" t="str">
        <f>IF(F306="Barrido",O306,"")</f>
        <v/>
      </c>
      <c r="R306" s="24">
        <f>IF(I306&lt;&gt;"0",I306,"")</f>
        <v>0</v>
      </c>
      <c r="S306" s="22">
        <f>IF(J306&lt;&gt;"0",J306,"")</f>
        <v>0</v>
      </c>
      <c r="T306" s="23"/>
      <c r="U306" s="23"/>
      <c r="V306" s="23"/>
      <c r="W306" s="23"/>
      <c r="X306" s="23"/>
    </row>
    <row r="307" spans="1:24" x14ac:dyDescent="0.2">
      <c r="A307" s="18"/>
      <c r="B307" s="19" t="str">
        <f>IF(A307="","",VLOOKUP(Planilla!A307,#REF!,2,FALSE))</f>
        <v/>
      </c>
      <c r="C307" s="19" t="str">
        <f>IF(B307="","",VLOOKUP(Planilla!A307,#REF!,3,FALSE))</f>
        <v/>
      </c>
      <c r="D307" s="20"/>
      <c r="E307" s="21"/>
      <c r="F307" s="21"/>
      <c r="G307" s="21"/>
      <c r="H307" s="21"/>
      <c r="I307" s="36"/>
      <c r="J307" s="36"/>
      <c r="K307" s="21"/>
      <c r="L307" s="21"/>
      <c r="M307" s="24">
        <f>IF(K307="",0,VLOOKUP(K307,#REF!,2,FALSE))</f>
        <v>0</v>
      </c>
      <c r="N307" s="24">
        <f>IF(L307="",0,VLOOKUP(L307,#REF!,2,FALSE))</f>
        <v>0</v>
      </c>
      <c r="O307" s="24">
        <f t="shared" si="9"/>
        <v>0</v>
      </c>
      <c r="P307" s="24">
        <f>IF(F307="Barrido","",O307)</f>
        <v>0</v>
      </c>
      <c r="Q307" s="24" t="str">
        <f>IF(F307="Barrido",O307,"")</f>
        <v/>
      </c>
      <c r="R307" s="24">
        <f>IF(I307&lt;&gt;"0",I307,"")</f>
        <v>0</v>
      </c>
      <c r="S307" s="22">
        <f>IF(J307&lt;&gt;"0",J307,"")</f>
        <v>0</v>
      </c>
      <c r="T307" s="23"/>
      <c r="U307" s="23"/>
      <c r="V307" s="23"/>
      <c r="W307" s="23"/>
      <c r="X307" s="23"/>
    </row>
    <row r="308" spans="1:24" x14ac:dyDescent="0.2">
      <c r="A308" s="18"/>
      <c r="B308" s="19" t="str">
        <f>IF(A308="","",VLOOKUP(Planilla!A308,#REF!,2,FALSE))</f>
        <v/>
      </c>
      <c r="C308" s="19" t="str">
        <f>IF(B308="","",VLOOKUP(Planilla!A308,#REF!,3,FALSE))</f>
        <v/>
      </c>
      <c r="D308" s="20"/>
      <c r="E308" s="21"/>
      <c r="F308" s="21"/>
      <c r="G308" s="21"/>
      <c r="H308" s="21"/>
      <c r="I308" s="36"/>
      <c r="J308" s="36"/>
      <c r="K308" s="21"/>
      <c r="L308" s="21"/>
      <c r="M308" s="24">
        <f>IF(K308="",0,VLOOKUP(K308,#REF!,2,FALSE))</f>
        <v>0</v>
      </c>
      <c r="N308" s="24">
        <f>IF(L308="",0,VLOOKUP(L308,#REF!,2,FALSE))</f>
        <v>0</v>
      </c>
      <c r="O308" s="24">
        <f t="shared" si="9"/>
        <v>0</v>
      </c>
      <c r="P308" s="24">
        <f>IF(F308="Barrido","",O308)</f>
        <v>0</v>
      </c>
      <c r="Q308" s="24" t="str">
        <f>IF(F308="Barrido",O308,"")</f>
        <v/>
      </c>
      <c r="R308" s="24">
        <f>IF(I308&lt;&gt;"0",I308,"")</f>
        <v>0</v>
      </c>
      <c r="S308" s="22">
        <f>IF(J308&lt;&gt;"0",J308,"")</f>
        <v>0</v>
      </c>
      <c r="T308" s="23"/>
      <c r="U308" s="23"/>
      <c r="V308" s="23"/>
      <c r="W308" s="23"/>
      <c r="X308" s="23"/>
    </row>
    <row r="309" spans="1:24" x14ac:dyDescent="0.2">
      <c r="A309" s="18"/>
      <c r="B309" s="19" t="str">
        <f>IF(A309="","",VLOOKUP(Planilla!A309,#REF!,2,FALSE))</f>
        <v/>
      </c>
      <c r="C309" s="19" t="str">
        <f>IF(B309="","",VLOOKUP(Planilla!A309,#REF!,3,FALSE))</f>
        <v/>
      </c>
      <c r="D309" s="20"/>
      <c r="E309" s="21"/>
      <c r="F309" s="21"/>
      <c r="G309" s="21"/>
      <c r="H309" s="21"/>
      <c r="I309" s="36"/>
      <c r="J309" s="36"/>
      <c r="K309" s="21"/>
      <c r="L309" s="21"/>
      <c r="M309" s="24">
        <f>IF(K309="",0,VLOOKUP(K309,#REF!,2,FALSE))</f>
        <v>0</v>
      </c>
      <c r="N309" s="24">
        <f>IF(L309="",0,VLOOKUP(L309,#REF!,2,FALSE))</f>
        <v>0</v>
      </c>
      <c r="O309" s="24">
        <f t="shared" si="9"/>
        <v>0</v>
      </c>
      <c r="P309" s="24">
        <f>IF(F309="Barrido","",O309)</f>
        <v>0</v>
      </c>
      <c r="Q309" s="24" t="str">
        <f>IF(F309="Barrido",O309,"")</f>
        <v/>
      </c>
      <c r="R309" s="24">
        <f>IF(I309&lt;&gt;"0",I309,"")</f>
        <v>0</v>
      </c>
      <c r="S309" s="22">
        <f>IF(J309&lt;&gt;"0",J309,"")</f>
        <v>0</v>
      </c>
      <c r="T309" s="23"/>
      <c r="U309" s="23"/>
      <c r="V309" s="23"/>
      <c r="W309" s="23"/>
      <c r="X309" s="23"/>
    </row>
    <row r="310" spans="1:24" x14ac:dyDescent="0.2">
      <c r="A310" s="18"/>
      <c r="B310" s="19" t="str">
        <f>IF(A310="","",VLOOKUP(Planilla!A310,#REF!,2,FALSE))</f>
        <v/>
      </c>
      <c r="C310" s="19" t="str">
        <f>IF(B310="","",VLOOKUP(Planilla!A310,#REF!,3,FALSE))</f>
        <v/>
      </c>
      <c r="D310" s="20"/>
      <c r="E310" s="21"/>
      <c r="F310" s="21"/>
      <c r="G310" s="21"/>
      <c r="H310" s="21"/>
      <c r="I310" s="36"/>
      <c r="J310" s="36"/>
      <c r="K310" s="21"/>
      <c r="L310" s="21"/>
      <c r="M310" s="24">
        <f>IF(K310="",0,VLOOKUP(K310,#REF!,2,FALSE))</f>
        <v>0</v>
      </c>
      <c r="N310" s="24">
        <f>IF(L310="",0,VLOOKUP(L310,#REF!,2,FALSE))</f>
        <v>0</v>
      </c>
      <c r="O310" s="24">
        <f t="shared" si="9"/>
        <v>0</v>
      </c>
      <c r="P310" s="24">
        <f>IF(F310="Barrido","",O310)</f>
        <v>0</v>
      </c>
      <c r="Q310" s="24" t="str">
        <f>IF(F310="Barrido",O310,"")</f>
        <v/>
      </c>
      <c r="R310" s="24">
        <f>IF(I310&lt;&gt;"0",I310,"")</f>
        <v>0</v>
      </c>
      <c r="S310" s="22">
        <f>IF(J310&lt;&gt;"0",J310,"")</f>
        <v>0</v>
      </c>
      <c r="T310" s="23"/>
      <c r="U310" s="23"/>
      <c r="V310" s="23"/>
      <c r="W310" s="23"/>
      <c r="X310" s="23"/>
    </row>
    <row r="311" spans="1:24" x14ac:dyDescent="0.2">
      <c r="A311" s="18"/>
      <c r="B311" s="19" t="str">
        <f>IF(A311="","",VLOOKUP(Planilla!A311,#REF!,2,FALSE))</f>
        <v/>
      </c>
      <c r="C311" s="19" t="str">
        <f>IF(B311="","",VLOOKUP(Planilla!A311,#REF!,3,FALSE))</f>
        <v/>
      </c>
      <c r="D311" s="20"/>
      <c r="E311" s="21"/>
      <c r="F311" s="21"/>
      <c r="G311" s="21"/>
      <c r="H311" s="21"/>
      <c r="I311" s="36"/>
      <c r="J311" s="36"/>
      <c r="K311" s="21"/>
      <c r="L311" s="21"/>
      <c r="M311" s="24">
        <f>IF(K311="",0,VLOOKUP(K311,#REF!,2,FALSE))</f>
        <v>0</v>
      </c>
      <c r="N311" s="24">
        <f>IF(L311="",0,VLOOKUP(L311,#REF!,2,FALSE))</f>
        <v>0</v>
      </c>
      <c r="O311" s="24">
        <f t="shared" si="9"/>
        <v>0</v>
      </c>
      <c r="P311" s="24">
        <f>IF(F311="Barrido","",O311)</f>
        <v>0</v>
      </c>
      <c r="Q311" s="24" t="str">
        <f>IF(F311="Barrido",O311,"")</f>
        <v/>
      </c>
      <c r="R311" s="24">
        <f>IF(I311&lt;&gt;"0",I311,"")</f>
        <v>0</v>
      </c>
      <c r="S311" s="22">
        <f>IF(J311&lt;&gt;"0",J311,"")</f>
        <v>0</v>
      </c>
      <c r="T311" s="23"/>
      <c r="U311" s="23"/>
      <c r="V311" s="23"/>
      <c r="W311" s="23"/>
      <c r="X311" s="23"/>
    </row>
    <row r="312" spans="1:24" x14ac:dyDescent="0.2">
      <c r="A312" s="18"/>
      <c r="B312" s="19" t="str">
        <f>IF(A312="","",VLOOKUP(Planilla!A312,#REF!,2,FALSE))</f>
        <v/>
      </c>
      <c r="C312" s="19" t="str">
        <f>IF(B312="","",VLOOKUP(Planilla!A312,#REF!,3,FALSE))</f>
        <v/>
      </c>
      <c r="D312" s="20"/>
      <c r="E312" s="21"/>
      <c r="F312" s="21"/>
      <c r="G312" s="21"/>
      <c r="H312" s="21"/>
      <c r="I312" s="36"/>
      <c r="J312" s="36"/>
      <c r="K312" s="21"/>
      <c r="L312" s="21"/>
      <c r="M312" s="24">
        <f>IF(K312="",0,VLOOKUP(K312,#REF!,2,FALSE))</f>
        <v>0</v>
      </c>
      <c r="N312" s="24">
        <f>IF(L312="",0,VLOOKUP(L312,#REF!,2,FALSE))</f>
        <v>0</v>
      </c>
      <c r="O312" s="24">
        <f t="shared" si="9"/>
        <v>0</v>
      </c>
      <c r="P312" s="24">
        <f>IF(F312="Barrido","",O312)</f>
        <v>0</v>
      </c>
      <c r="Q312" s="24" t="str">
        <f>IF(F312="Barrido",O312,"")</f>
        <v/>
      </c>
      <c r="R312" s="24">
        <f>IF(I312&lt;&gt;"0",I312,"")</f>
        <v>0</v>
      </c>
      <c r="S312" s="22">
        <f>IF(J312&lt;&gt;"0",J312,"")</f>
        <v>0</v>
      </c>
      <c r="T312" s="23"/>
      <c r="U312" s="23"/>
      <c r="V312" s="23"/>
      <c r="W312" s="23"/>
      <c r="X312" s="23"/>
    </row>
    <row r="313" spans="1:24" x14ac:dyDescent="0.2">
      <c r="A313" s="18"/>
      <c r="B313" s="19" t="str">
        <f>IF(A313="","",VLOOKUP(Planilla!A313,#REF!,2,FALSE))</f>
        <v/>
      </c>
      <c r="C313" s="19" t="str">
        <f>IF(B313="","",VLOOKUP(Planilla!A313,#REF!,3,FALSE))</f>
        <v/>
      </c>
      <c r="D313" s="20"/>
      <c r="E313" s="21"/>
      <c r="F313" s="21"/>
      <c r="G313" s="21"/>
      <c r="H313" s="21"/>
      <c r="I313" s="36"/>
      <c r="J313" s="36"/>
      <c r="K313" s="21"/>
      <c r="L313" s="21"/>
      <c r="M313" s="24">
        <f>IF(K313="",0,VLOOKUP(K313,#REF!,2,FALSE))</f>
        <v>0</v>
      </c>
      <c r="N313" s="24">
        <f>IF(L313="",0,VLOOKUP(L313,#REF!,2,FALSE))</f>
        <v>0</v>
      </c>
      <c r="O313" s="24">
        <f t="shared" si="9"/>
        <v>0</v>
      </c>
      <c r="P313" s="24">
        <f>IF(F313="Barrido","",O313)</f>
        <v>0</v>
      </c>
      <c r="Q313" s="24" t="str">
        <f>IF(F313="Barrido",O313,"")</f>
        <v/>
      </c>
      <c r="R313" s="24">
        <f>IF(I313&lt;&gt;"0",I313,"")</f>
        <v>0</v>
      </c>
      <c r="S313" s="22">
        <f>IF(J313&lt;&gt;"0",J313,"")</f>
        <v>0</v>
      </c>
      <c r="T313" s="23"/>
      <c r="U313" s="23"/>
      <c r="V313" s="23"/>
      <c r="W313" s="23"/>
      <c r="X313" s="23"/>
    </row>
    <row r="314" spans="1:24" x14ac:dyDescent="0.2">
      <c r="A314" s="18"/>
      <c r="B314" s="19" t="str">
        <f>IF(A314="","",VLOOKUP(Planilla!A314,#REF!,2,FALSE))</f>
        <v/>
      </c>
      <c r="C314" s="19" t="str">
        <f>IF(B314="","",VLOOKUP(Planilla!A314,#REF!,3,FALSE))</f>
        <v/>
      </c>
      <c r="D314" s="20"/>
      <c r="E314" s="21"/>
      <c r="F314" s="21"/>
      <c r="G314" s="21"/>
      <c r="H314" s="21"/>
      <c r="I314" s="36"/>
      <c r="J314" s="36"/>
      <c r="K314" s="21"/>
      <c r="L314" s="21"/>
      <c r="M314" s="24">
        <f>IF(K314="",0,VLOOKUP(K314,#REF!,2,FALSE))</f>
        <v>0</v>
      </c>
      <c r="N314" s="24">
        <f>IF(L314="",0,VLOOKUP(L314,#REF!,2,FALSE))</f>
        <v>0</v>
      </c>
      <c r="O314" s="24">
        <f t="shared" si="9"/>
        <v>0</v>
      </c>
      <c r="P314" s="24">
        <f>IF(F314="Barrido","",O314)</f>
        <v>0</v>
      </c>
      <c r="Q314" s="24" t="str">
        <f>IF(F314="Barrido",O314,"")</f>
        <v/>
      </c>
      <c r="R314" s="24">
        <f>IF(I314&lt;&gt;"0",I314,"")</f>
        <v>0</v>
      </c>
      <c r="S314" s="22">
        <f>IF(J314&lt;&gt;"0",J314,"")</f>
        <v>0</v>
      </c>
      <c r="T314" s="23"/>
      <c r="U314" s="23"/>
      <c r="V314" s="23"/>
      <c r="W314" s="23"/>
      <c r="X314" s="23"/>
    </row>
    <row r="315" spans="1:24" x14ac:dyDescent="0.2">
      <c r="A315" s="18"/>
      <c r="B315" s="19" t="str">
        <f>IF(A315="","",VLOOKUP(Planilla!A315,#REF!,2,FALSE))</f>
        <v/>
      </c>
      <c r="C315" s="19" t="str">
        <f>IF(B315="","",VLOOKUP(Planilla!A315,#REF!,3,FALSE))</f>
        <v/>
      </c>
      <c r="D315" s="20"/>
      <c r="E315" s="21"/>
      <c r="F315" s="21"/>
      <c r="G315" s="21"/>
      <c r="H315" s="21"/>
      <c r="I315" s="36"/>
      <c r="J315" s="36"/>
      <c r="K315" s="21"/>
      <c r="L315" s="21"/>
      <c r="M315" s="24">
        <f>IF(K315="",0,VLOOKUP(K315,#REF!,2,FALSE))</f>
        <v>0</v>
      </c>
      <c r="N315" s="24">
        <f>IF(L315="",0,VLOOKUP(L315,#REF!,2,FALSE))</f>
        <v>0</v>
      </c>
      <c r="O315" s="24">
        <f t="shared" si="9"/>
        <v>0</v>
      </c>
      <c r="P315" s="24">
        <f>IF(F315="Barrido","",O315)</f>
        <v>0</v>
      </c>
      <c r="Q315" s="24" t="str">
        <f>IF(F315="Barrido",O315,"")</f>
        <v/>
      </c>
      <c r="R315" s="24">
        <f>IF(I315&lt;&gt;"0",I315,"")</f>
        <v>0</v>
      </c>
      <c r="S315" s="22">
        <f>IF(J315&lt;&gt;"0",J315,"")</f>
        <v>0</v>
      </c>
      <c r="T315" s="23"/>
      <c r="U315" s="23"/>
      <c r="V315" s="23"/>
      <c r="W315" s="23"/>
      <c r="X315" s="23"/>
    </row>
    <row r="316" spans="1:24" x14ac:dyDescent="0.2">
      <c r="A316" s="18"/>
      <c r="B316" s="19" t="str">
        <f>IF(A316="","",VLOOKUP(Planilla!A316,#REF!,2,FALSE))</f>
        <v/>
      </c>
      <c r="C316" s="19" t="str">
        <f>IF(B316="","",VLOOKUP(Planilla!A316,#REF!,3,FALSE))</f>
        <v/>
      </c>
      <c r="D316" s="20"/>
      <c r="E316" s="21"/>
      <c r="F316" s="21"/>
      <c r="G316" s="21"/>
      <c r="H316" s="21"/>
      <c r="I316" s="36"/>
      <c r="J316" s="36"/>
      <c r="K316" s="21"/>
      <c r="L316" s="21"/>
      <c r="M316" s="24">
        <f>IF(K316="",0,VLOOKUP(K316,#REF!,2,FALSE))</f>
        <v>0</v>
      </c>
      <c r="N316" s="24">
        <f>IF(L316="",0,VLOOKUP(L316,#REF!,2,FALSE))</f>
        <v>0</v>
      </c>
      <c r="O316" s="24">
        <f t="shared" si="9"/>
        <v>0</v>
      </c>
      <c r="P316" s="24">
        <f>IF(F316="Barrido","",O316)</f>
        <v>0</v>
      </c>
      <c r="Q316" s="24" t="str">
        <f>IF(F316="Barrido",O316,"")</f>
        <v/>
      </c>
      <c r="R316" s="24">
        <f>IF(I316&lt;&gt;"0",I316,"")</f>
        <v>0</v>
      </c>
      <c r="S316" s="22">
        <f>IF(J316&lt;&gt;"0",J316,"")</f>
        <v>0</v>
      </c>
      <c r="T316" s="23"/>
      <c r="U316" s="23"/>
      <c r="V316" s="23"/>
      <c r="W316" s="23"/>
      <c r="X316" s="23"/>
    </row>
    <row r="317" spans="1:24" x14ac:dyDescent="0.2">
      <c r="A317" s="18"/>
      <c r="B317" s="19" t="str">
        <f>IF(A317="","",VLOOKUP(Planilla!A317,#REF!,2,FALSE))</f>
        <v/>
      </c>
      <c r="C317" s="19" t="str">
        <f>IF(B317="","",VLOOKUP(Planilla!A317,#REF!,3,FALSE))</f>
        <v/>
      </c>
      <c r="D317" s="20"/>
      <c r="E317" s="21"/>
      <c r="F317" s="21"/>
      <c r="G317" s="21"/>
      <c r="H317" s="21"/>
      <c r="I317" s="36"/>
      <c r="J317" s="36"/>
      <c r="K317" s="21"/>
      <c r="L317" s="21"/>
      <c r="M317" s="24">
        <f>IF(K317="",0,VLOOKUP(K317,#REF!,2,FALSE))</f>
        <v>0</v>
      </c>
      <c r="N317" s="24">
        <f>IF(L317="",0,VLOOKUP(L317,#REF!,2,FALSE))</f>
        <v>0</v>
      </c>
      <c r="O317" s="24">
        <f t="shared" si="9"/>
        <v>0</v>
      </c>
      <c r="P317" s="24">
        <f>IF(F317="Barrido","",O317)</f>
        <v>0</v>
      </c>
      <c r="Q317" s="24" t="str">
        <f>IF(F317="Barrido",O317,"")</f>
        <v/>
      </c>
      <c r="R317" s="24">
        <f>IF(I317&lt;&gt;"0",I317,"")</f>
        <v>0</v>
      </c>
      <c r="S317" s="22">
        <f>IF(J317&lt;&gt;"0",J317,"")</f>
        <v>0</v>
      </c>
      <c r="T317" s="23"/>
      <c r="U317" s="23"/>
      <c r="V317" s="23"/>
      <c r="W317" s="23"/>
      <c r="X317" s="23"/>
    </row>
    <row r="318" spans="1:24" x14ac:dyDescent="0.2">
      <c r="A318" s="18"/>
      <c r="B318" s="19" t="str">
        <f>IF(A318="","",VLOOKUP(Planilla!A318,#REF!,2,FALSE))</f>
        <v/>
      </c>
      <c r="C318" s="19" t="str">
        <f>IF(B318="","",VLOOKUP(Planilla!A318,#REF!,3,FALSE))</f>
        <v/>
      </c>
      <c r="D318" s="20"/>
      <c r="E318" s="21"/>
      <c r="F318" s="21"/>
      <c r="G318" s="21"/>
      <c r="H318" s="21"/>
      <c r="I318" s="36"/>
      <c r="J318" s="36"/>
      <c r="K318" s="21"/>
      <c r="L318" s="21"/>
      <c r="M318" s="24">
        <f>IF(K318="",0,VLOOKUP(K318,#REF!,2,FALSE))</f>
        <v>0</v>
      </c>
      <c r="N318" s="24">
        <f>IF(L318="",0,VLOOKUP(L318,#REF!,2,FALSE))</f>
        <v>0</v>
      </c>
      <c r="O318" s="24">
        <f t="shared" si="9"/>
        <v>0</v>
      </c>
      <c r="P318" s="24">
        <f>IF(F318="Barrido","",O318)</f>
        <v>0</v>
      </c>
      <c r="Q318" s="24" t="str">
        <f>IF(F318="Barrido",O318,"")</f>
        <v/>
      </c>
      <c r="R318" s="24">
        <f>IF(I318&lt;&gt;"0",I318,"")</f>
        <v>0</v>
      </c>
      <c r="S318" s="22">
        <f>IF(J318&lt;&gt;"0",J318,"")</f>
        <v>0</v>
      </c>
      <c r="T318" s="23"/>
      <c r="U318" s="23"/>
      <c r="V318" s="23"/>
      <c r="W318" s="23"/>
      <c r="X318" s="23"/>
    </row>
    <row r="319" spans="1:24" x14ac:dyDescent="0.2">
      <c r="A319" s="18"/>
      <c r="B319" s="19" t="str">
        <f>IF(A319="","",VLOOKUP(Planilla!A319,#REF!,2,FALSE))</f>
        <v/>
      </c>
      <c r="C319" s="19" t="str">
        <f>IF(B319="","",VLOOKUP(Planilla!A319,#REF!,3,FALSE))</f>
        <v/>
      </c>
      <c r="D319" s="20"/>
      <c r="E319" s="21"/>
      <c r="F319" s="21"/>
      <c r="G319" s="21"/>
      <c r="H319" s="21"/>
      <c r="I319" s="36"/>
      <c r="J319" s="36"/>
      <c r="K319" s="21"/>
      <c r="L319" s="21"/>
      <c r="M319" s="24">
        <f>IF(K319="",0,VLOOKUP(K319,#REF!,2,FALSE))</f>
        <v>0</v>
      </c>
      <c r="N319" s="24">
        <f>IF(L319="",0,VLOOKUP(L319,#REF!,2,FALSE))</f>
        <v>0</v>
      </c>
      <c r="O319" s="24">
        <f t="shared" si="9"/>
        <v>0</v>
      </c>
      <c r="P319" s="24">
        <f>IF(F319="Barrido","",O319)</f>
        <v>0</v>
      </c>
      <c r="Q319" s="24" t="str">
        <f>IF(F319="Barrido",O319,"")</f>
        <v/>
      </c>
      <c r="R319" s="24">
        <f>IF(I319&lt;&gt;"0",I319,"")</f>
        <v>0</v>
      </c>
      <c r="S319" s="22">
        <f>IF(J319&lt;&gt;"0",J319,"")</f>
        <v>0</v>
      </c>
      <c r="T319" s="23"/>
      <c r="U319" s="23"/>
      <c r="V319" s="23"/>
      <c r="W319" s="23"/>
      <c r="X319" s="23"/>
    </row>
    <row r="320" spans="1:24" x14ac:dyDescent="0.2">
      <c r="A320" s="18"/>
      <c r="B320" s="19" t="str">
        <f>IF(A320="","",VLOOKUP(Planilla!A320,#REF!,2,FALSE))</f>
        <v/>
      </c>
      <c r="C320" s="19" t="str">
        <f>IF(B320="","",VLOOKUP(Planilla!A320,#REF!,3,FALSE))</f>
        <v/>
      </c>
      <c r="D320" s="20"/>
      <c r="E320" s="21"/>
      <c r="F320" s="21"/>
      <c r="G320" s="21"/>
      <c r="H320" s="21"/>
      <c r="I320" s="36"/>
      <c r="J320" s="36"/>
      <c r="K320" s="21"/>
      <c r="L320" s="21"/>
      <c r="M320" s="24">
        <f>IF(K320="",0,VLOOKUP(K320,#REF!,2,FALSE))</f>
        <v>0</v>
      </c>
      <c r="N320" s="24">
        <f>IF(L320="",0,VLOOKUP(L320,#REF!,2,FALSE))</f>
        <v>0</v>
      </c>
      <c r="O320" s="24">
        <f t="shared" si="9"/>
        <v>0</v>
      </c>
      <c r="P320" s="24">
        <f>IF(F320="Barrido","",O320)</f>
        <v>0</v>
      </c>
      <c r="Q320" s="24" t="str">
        <f>IF(F320="Barrido",O320,"")</f>
        <v/>
      </c>
      <c r="R320" s="24">
        <f>IF(I320&lt;&gt;"0",I320,"")</f>
        <v>0</v>
      </c>
      <c r="S320" s="22">
        <f>IF(J320&lt;&gt;"0",J320,"")</f>
        <v>0</v>
      </c>
      <c r="T320" s="23"/>
      <c r="U320" s="23"/>
      <c r="V320" s="23"/>
      <c r="W320" s="23"/>
      <c r="X320" s="23"/>
    </row>
    <row r="321" spans="1:24" x14ac:dyDescent="0.2">
      <c r="A321" s="18"/>
      <c r="B321" s="19" t="str">
        <f>IF(A321="","",VLOOKUP(Planilla!A321,#REF!,2,FALSE))</f>
        <v/>
      </c>
      <c r="C321" s="19" t="str">
        <f>IF(B321="","",VLOOKUP(Planilla!A321,#REF!,3,FALSE))</f>
        <v/>
      </c>
      <c r="D321" s="20"/>
      <c r="E321" s="21"/>
      <c r="F321" s="21"/>
      <c r="G321" s="21"/>
      <c r="H321" s="21"/>
      <c r="I321" s="36"/>
      <c r="J321" s="36"/>
      <c r="K321" s="21"/>
      <c r="L321" s="21"/>
      <c r="M321" s="24">
        <f>IF(K321="",0,VLOOKUP(K321,#REF!,2,FALSE))</f>
        <v>0</v>
      </c>
      <c r="N321" s="24">
        <f>IF(L321="",0,VLOOKUP(L321,#REF!,2,FALSE))</f>
        <v>0</v>
      </c>
      <c r="O321" s="24">
        <f t="shared" si="9"/>
        <v>0</v>
      </c>
      <c r="P321" s="24">
        <f>IF(F321="Barrido","",O321)</f>
        <v>0</v>
      </c>
      <c r="Q321" s="24" t="str">
        <f>IF(F321="Barrido",O321,"")</f>
        <v/>
      </c>
      <c r="R321" s="24">
        <f>IF(I321&lt;&gt;"0",I321,"")</f>
        <v>0</v>
      </c>
      <c r="S321" s="22">
        <f>IF(J321&lt;&gt;"0",J321,"")</f>
        <v>0</v>
      </c>
      <c r="T321" s="23"/>
      <c r="U321" s="23"/>
      <c r="V321" s="23"/>
      <c r="W321" s="23"/>
      <c r="X321" s="23"/>
    </row>
    <row r="322" spans="1:24" x14ac:dyDescent="0.2">
      <c r="A322" s="18"/>
      <c r="B322" s="19" t="str">
        <f>IF(A322="","",VLOOKUP(Planilla!A322,#REF!,2,FALSE))</f>
        <v/>
      </c>
      <c r="C322" s="19" t="str">
        <f>IF(B322="","",VLOOKUP(Planilla!A322,#REF!,3,FALSE))</f>
        <v/>
      </c>
      <c r="D322" s="20"/>
      <c r="E322" s="21"/>
      <c r="F322" s="21"/>
      <c r="G322" s="21"/>
      <c r="H322" s="21"/>
      <c r="I322" s="36"/>
      <c r="J322" s="36"/>
      <c r="K322" s="21"/>
      <c r="L322" s="21"/>
      <c r="M322" s="24">
        <f>IF(K322="",0,VLOOKUP(K322,#REF!,2,FALSE))</f>
        <v>0</v>
      </c>
      <c r="N322" s="24">
        <f>IF(L322="",0,VLOOKUP(L322,#REF!,2,FALSE))</f>
        <v>0</v>
      </c>
      <c r="O322" s="24">
        <f t="shared" si="9"/>
        <v>0</v>
      </c>
      <c r="P322" s="24">
        <f>IF(F322="Barrido","",O322)</f>
        <v>0</v>
      </c>
      <c r="Q322" s="24" t="str">
        <f>IF(F322="Barrido",O322,"")</f>
        <v/>
      </c>
      <c r="R322" s="24">
        <f>IF(I322&lt;&gt;"0",I322,"")</f>
        <v>0</v>
      </c>
      <c r="S322" s="22">
        <f>IF(J322&lt;&gt;"0",J322,"")</f>
        <v>0</v>
      </c>
      <c r="T322" s="23"/>
      <c r="U322" s="23"/>
      <c r="V322" s="23"/>
      <c r="W322" s="23"/>
      <c r="X322" s="23"/>
    </row>
    <row r="323" spans="1:24" x14ac:dyDescent="0.2">
      <c r="A323" s="18"/>
      <c r="B323" s="19" t="str">
        <f>IF(A323="","",VLOOKUP(Planilla!A323,#REF!,2,FALSE))</f>
        <v/>
      </c>
      <c r="C323" s="19" t="str">
        <f>IF(B323="","",VLOOKUP(Planilla!A323,#REF!,3,FALSE))</f>
        <v/>
      </c>
      <c r="D323" s="20"/>
      <c r="E323" s="21"/>
      <c r="F323" s="21"/>
      <c r="G323" s="21"/>
      <c r="H323" s="21"/>
      <c r="I323" s="36"/>
      <c r="J323" s="36"/>
      <c r="K323" s="21"/>
      <c r="L323" s="21"/>
      <c r="M323" s="24">
        <f>IF(K323="",0,VLOOKUP(K323,#REF!,2,FALSE))</f>
        <v>0</v>
      </c>
      <c r="N323" s="24">
        <f>IF(L323="",0,VLOOKUP(L323,#REF!,2,FALSE))</f>
        <v>0</v>
      </c>
      <c r="O323" s="24">
        <f t="shared" si="9"/>
        <v>0</v>
      </c>
      <c r="P323" s="24">
        <f>IF(F323="Barrido","",O323)</f>
        <v>0</v>
      </c>
      <c r="Q323" s="24" t="str">
        <f>IF(F323="Barrido",O323,"")</f>
        <v/>
      </c>
      <c r="R323" s="24">
        <f>IF(I323&lt;&gt;"0",I323,"")</f>
        <v>0</v>
      </c>
      <c r="S323" s="22">
        <f>IF(J323&lt;&gt;"0",J323,"")</f>
        <v>0</v>
      </c>
      <c r="T323" s="23"/>
      <c r="U323" s="23"/>
      <c r="V323" s="23"/>
      <c r="W323" s="23"/>
      <c r="X323" s="23"/>
    </row>
    <row r="324" spans="1:24" x14ac:dyDescent="0.2">
      <c r="A324" s="18"/>
      <c r="B324" s="19" t="str">
        <f>IF(A324="","",VLOOKUP(Planilla!A324,#REF!,2,FALSE))</f>
        <v/>
      </c>
      <c r="C324" s="19" t="str">
        <f>IF(B324="","",VLOOKUP(Planilla!A324,#REF!,3,FALSE))</f>
        <v/>
      </c>
      <c r="D324" s="20"/>
      <c r="E324" s="21"/>
      <c r="F324" s="21"/>
      <c r="G324" s="21"/>
      <c r="H324" s="21"/>
      <c r="I324" s="36"/>
      <c r="J324" s="36"/>
      <c r="K324" s="21"/>
      <c r="L324" s="21"/>
      <c r="M324" s="24">
        <f>IF(K324="",0,VLOOKUP(K324,#REF!,2,FALSE))</f>
        <v>0</v>
      </c>
      <c r="N324" s="24">
        <f>IF(L324="",0,VLOOKUP(L324,#REF!,2,FALSE))</f>
        <v>0</v>
      </c>
      <c r="O324" s="24">
        <f t="shared" si="9"/>
        <v>0</v>
      </c>
      <c r="P324" s="24">
        <f>IF(F324="Barrido","",O324)</f>
        <v>0</v>
      </c>
      <c r="Q324" s="24" t="str">
        <f>IF(F324="Barrido",O324,"")</f>
        <v/>
      </c>
      <c r="R324" s="24">
        <f>IF(I324&lt;&gt;"0",I324,"")</f>
        <v>0</v>
      </c>
      <c r="S324" s="22">
        <f>IF(J324&lt;&gt;"0",J324,"")</f>
        <v>0</v>
      </c>
      <c r="T324" s="23"/>
      <c r="U324" s="23"/>
      <c r="V324" s="23"/>
      <c r="W324" s="23"/>
      <c r="X324" s="23"/>
    </row>
    <row r="325" spans="1:24" x14ac:dyDescent="0.2">
      <c r="A325" s="18"/>
      <c r="B325" s="19" t="str">
        <f>IF(A325="","",VLOOKUP(Planilla!A325,#REF!,2,FALSE))</f>
        <v/>
      </c>
      <c r="C325" s="19" t="str">
        <f>IF(B325="","",VLOOKUP(Planilla!A325,#REF!,3,FALSE))</f>
        <v/>
      </c>
      <c r="D325" s="20"/>
      <c r="E325" s="21"/>
      <c r="F325" s="21"/>
      <c r="G325" s="21"/>
      <c r="H325" s="21"/>
      <c r="I325" s="36"/>
      <c r="J325" s="36"/>
      <c r="K325" s="21"/>
      <c r="L325" s="21"/>
      <c r="M325" s="24">
        <f>IF(K325="",0,VLOOKUP(K325,#REF!,2,FALSE))</f>
        <v>0</v>
      </c>
      <c r="N325" s="24">
        <f>IF(L325="",0,VLOOKUP(L325,#REF!,2,FALSE))</f>
        <v>0</v>
      </c>
      <c r="O325" s="24">
        <f t="shared" si="9"/>
        <v>0</v>
      </c>
      <c r="P325" s="24">
        <f>IF(F325="Barrido","",O325)</f>
        <v>0</v>
      </c>
      <c r="Q325" s="24" t="str">
        <f>IF(F325="Barrido",O325,"")</f>
        <v/>
      </c>
      <c r="R325" s="24">
        <f>IF(I325&lt;&gt;"0",I325,"")</f>
        <v>0</v>
      </c>
      <c r="S325" s="22">
        <f>IF(J325&lt;&gt;"0",J325,"")</f>
        <v>0</v>
      </c>
      <c r="T325" s="23"/>
      <c r="U325" s="23"/>
      <c r="V325" s="23"/>
      <c r="W325" s="23"/>
      <c r="X325" s="23"/>
    </row>
    <row r="326" spans="1:24" x14ac:dyDescent="0.2">
      <c r="A326" s="18"/>
      <c r="B326" s="19" t="str">
        <f>IF(A326="","",VLOOKUP(Planilla!A326,#REF!,2,FALSE))</f>
        <v/>
      </c>
      <c r="C326" s="19" t="str">
        <f>IF(B326="","",VLOOKUP(Planilla!A326,#REF!,3,FALSE))</f>
        <v/>
      </c>
      <c r="D326" s="20"/>
      <c r="E326" s="21"/>
      <c r="F326" s="21"/>
      <c r="G326" s="21"/>
      <c r="H326" s="21"/>
      <c r="I326" s="36"/>
      <c r="J326" s="36"/>
      <c r="K326" s="21"/>
      <c r="L326" s="21"/>
      <c r="M326" s="24">
        <f>IF(K326="",0,VLOOKUP(K326,#REF!,2,FALSE))</f>
        <v>0</v>
      </c>
      <c r="N326" s="24">
        <f>IF(L326="",0,VLOOKUP(L326,#REF!,2,FALSE))</f>
        <v>0</v>
      </c>
      <c r="O326" s="24">
        <f t="shared" si="9"/>
        <v>0</v>
      </c>
      <c r="P326" s="24">
        <f>IF(F326="Barrido","",O326)</f>
        <v>0</v>
      </c>
      <c r="Q326" s="24" t="str">
        <f>IF(F326="Barrido",O326,"")</f>
        <v/>
      </c>
      <c r="R326" s="24">
        <f>IF(I326&lt;&gt;"0",I326,"")</f>
        <v>0</v>
      </c>
      <c r="S326" s="22">
        <f>IF(J326&lt;&gt;"0",J326,"")</f>
        <v>0</v>
      </c>
      <c r="T326" s="23"/>
      <c r="U326" s="23"/>
      <c r="V326" s="23"/>
      <c r="W326" s="23"/>
      <c r="X326" s="23"/>
    </row>
    <row r="327" spans="1:24" x14ac:dyDescent="0.2">
      <c r="A327" s="18"/>
      <c r="B327" s="19" t="str">
        <f>IF(A327="","",VLOOKUP(Planilla!A327,#REF!,2,FALSE))</f>
        <v/>
      </c>
      <c r="C327" s="19" t="str">
        <f>IF(B327="","",VLOOKUP(Planilla!A327,#REF!,3,FALSE))</f>
        <v/>
      </c>
      <c r="D327" s="20"/>
      <c r="E327" s="21"/>
      <c r="F327" s="21"/>
      <c r="G327" s="21"/>
      <c r="H327" s="21"/>
      <c r="I327" s="36"/>
      <c r="J327" s="36"/>
      <c r="K327" s="21"/>
      <c r="L327" s="21"/>
      <c r="M327" s="24">
        <f>IF(K327="",0,VLOOKUP(K327,#REF!,2,FALSE))</f>
        <v>0</v>
      </c>
      <c r="N327" s="24">
        <f>IF(L327="",0,VLOOKUP(L327,#REF!,2,FALSE))</f>
        <v>0</v>
      </c>
      <c r="O327" s="24">
        <f t="shared" si="9"/>
        <v>0</v>
      </c>
      <c r="P327" s="24">
        <f>IF(F327="Barrido","",O327)</f>
        <v>0</v>
      </c>
      <c r="Q327" s="24" t="str">
        <f>IF(F327="Barrido",O327,"")</f>
        <v/>
      </c>
      <c r="R327" s="24">
        <f>IF(I327&lt;&gt;"0",I327,"")</f>
        <v>0</v>
      </c>
      <c r="S327" s="22">
        <f>IF(J327&lt;&gt;"0",J327,"")</f>
        <v>0</v>
      </c>
      <c r="T327" s="23"/>
      <c r="U327" s="23"/>
      <c r="V327" s="23"/>
      <c r="W327" s="23"/>
      <c r="X327" s="23"/>
    </row>
    <row r="328" spans="1:24" x14ac:dyDescent="0.2">
      <c r="A328" s="18"/>
      <c r="B328" s="19" t="str">
        <f>IF(A328="","",VLOOKUP(Planilla!A328,#REF!,2,FALSE))</f>
        <v/>
      </c>
      <c r="C328" s="19" t="str">
        <f>IF(B328="","",VLOOKUP(Planilla!A328,#REF!,3,FALSE))</f>
        <v/>
      </c>
      <c r="D328" s="20"/>
      <c r="E328" s="21"/>
      <c r="F328" s="21"/>
      <c r="G328" s="21"/>
      <c r="H328" s="21"/>
      <c r="I328" s="36"/>
      <c r="J328" s="36"/>
      <c r="K328" s="21"/>
      <c r="L328" s="21"/>
      <c r="M328" s="24">
        <f>IF(K328="",0,VLOOKUP(K328,#REF!,2,FALSE))</f>
        <v>0</v>
      </c>
      <c r="N328" s="24">
        <f>IF(L328="",0,VLOOKUP(L328,#REF!,2,FALSE))</f>
        <v>0</v>
      </c>
      <c r="O328" s="24">
        <f t="shared" si="9"/>
        <v>0</v>
      </c>
      <c r="P328" s="24">
        <f>IF(F328="Barrido","",O328)</f>
        <v>0</v>
      </c>
      <c r="Q328" s="24" t="str">
        <f>IF(F328="Barrido",O328,"")</f>
        <v/>
      </c>
      <c r="R328" s="24">
        <f>IF(I328&lt;&gt;"0",I328,"")</f>
        <v>0</v>
      </c>
      <c r="S328" s="22">
        <f>IF(J328&lt;&gt;"0",J328,"")</f>
        <v>0</v>
      </c>
      <c r="T328" s="23"/>
      <c r="U328" s="23"/>
      <c r="V328" s="23"/>
      <c r="W328" s="23"/>
      <c r="X328" s="23"/>
    </row>
    <row r="329" spans="1:24" x14ac:dyDescent="0.2">
      <c r="A329" s="18"/>
      <c r="B329" s="19" t="str">
        <f>IF(A329="","",VLOOKUP(Planilla!A329,#REF!,2,FALSE))</f>
        <v/>
      </c>
      <c r="C329" s="19" t="str">
        <f>IF(B329="","",VLOOKUP(Planilla!A329,#REF!,3,FALSE))</f>
        <v/>
      </c>
      <c r="D329" s="20"/>
      <c r="E329" s="21"/>
      <c r="F329" s="21"/>
      <c r="G329" s="21"/>
      <c r="H329" s="21"/>
      <c r="I329" s="36"/>
      <c r="J329" s="36"/>
      <c r="K329" s="21"/>
      <c r="L329" s="21"/>
      <c r="M329" s="24">
        <f>IF(K329="",0,VLOOKUP(K329,#REF!,2,FALSE))</f>
        <v>0</v>
      </c>
      <c r="N329" s="24">
        <f>IF(L329="",0,VLOOKUP(L329,#REF!,2,FALSE))</f>
        <v>0</v>
      </c>
      <c r="O329" s="24">
        <f t="shared" si="9"/>
        <v>0</v>
      </c>
      <c r="P329" s="24">
        <f>IF(F329="Barrido","",O329)</f>
        <v>0</v>
      </c>
      <c r="Q329" s="24" t="str">
        <f>IF(F329="Barrido",O329,"")</f>
        <v/>
      </c>
      <c r="R329" s="24">
        <f>IF(I329&lt;&gt;"0",I329,"")</f>
        <v>0</v>
      </c>
      <c r="S329" s="22">
        <f>IF(J329&lt;&gt;"0",J329,"")</f>
        <v>0</v>
      </c>
      <c r="T329" s="23"/>
      <c r="U329" s="23"/>
      <c r="V329" s="23"/>
      <c r="W329" s="23"/>
      <c r="X329" s="23"/>
    </row>
    <row r="330" spans="1:24" x14ac:dyDescent="0.2">
      <c r="A330" s="18"/>
      <c r="B330" s="19" t="str">
        <f>IF(A330="","",VLOOKUP(Planilla!A330,#REF!,2,FALSE))</f>
        <v/>
      </c>
      <c r="C330" s="19" t="str">
        <f>IF(B330="","",VLOOKUP(Planilla!A330,#REF!,3,FALSE))</f>
        <v/>
      </c>
      <c r="D330" s="20"/>
      <c r="E330" s="21"/>
      <c r="F330" s="21"/>
      <c r="G330" s="21"/>
      <c r="H330" s="21"/>
      <c r="I330" s="36"/>
      <c r="J330" s="36"/>
      <c r="K330" s="21"/>
      <c r="L330" s="21"/>
      <c r="M330" s="24">
        <f>IF(K330="",0,VLOOKUP(K330,#REF!,2,FALSE))</f>
        <v>0</v>
      </c>
      <c r="N330" s="24">
        <f>IF(L330="",0,VLOOKUP(L330,#REF!,2,FALSE))</f>
        <v>0</v>
      </c>
      <c r="O330" s="24">
        <f t="shared" si="9"/>
        <v>0</v>
      </c>
      <c r="P330" s="24">
        <f>IF(F330="Barrido","",O330)</f>
        <v>0</v>
      </c>
      <c r="Q330" s="24" t="str">
        <f>IF(F330="Barrido",O330,"")</f>
        <v/>
      </c>
      <c r="R330" s="24">
        <f>IF(I330&lt;&gt;"0",I330,"")</f>
        <v>0</v>
      </c>
      <c r="S330" s="22">
        <f>IF(J330&lt;&gt;"0",J330,"")</f>
        <v>0</v>
      </c>
      <c r="T330" s="23"/>
      <c r="U330" s="23"/>
      <c r="V330" s="23"/>
      <c r="W330" s="23"/>
      <c r="X330" s="23"/>
    </row>
    <row r="331" spans="1:24" x14ac:dyDescent="0.2">
      <c r="A331" s="18"/>
      <c r="B331" s="19" t="str">
        <f>IF(A331="","",VLOOKUP(Planilla!A331,#REF!,2,FALSE))</f>
        <v/>
      </c>
      <c r="C331" s="19" t="str">
        <f>IF(B331="","",VLOOKUP(Planilla!A331,#REF!,3,FALSE))</f>
        <v/>
      </c>
      <c r="D331" s="20"/>
      <c r="E331" s="21"/>
      <c r="F331" s="21"/>
      <c r="G331" s="21"/>
      <c r="H331" s="21"/>
      <c r="I331" s="36"/>
      <c r="J331" s="36"/>
      <c r="K331" s="21"/>
      <c r="L331" s="21"/>
      <c r="M331" s="24">
        <f>IF(K331="",0,VLOOKUP(K331,#REF!,2,FALSE))</f>
        <v>0</v>
      </c>
      <c r="N331" s="24">
        <f>IF(L331="",0,VLOOKUP(L331,#REF!,2,FALSE))</f>
        <v>0</v>
      </c>
      <c r="O331" s="24">
        <f t="shared" si="9"/>
        <v>0</v>
      </c>
      <c r="P331" s="24">
        <f>IF(F331="Barrido","",O331)</f>
        <v>0</v>
      </c>
      <c r="Q331" s="24" t="str">
        <f>IF(F331="Barrido",O331,"")</f>
        <v/>
      </c>
      <c r="R331" s="24">
        <f>IF(I331&lt;&gt;"0",I331,"")</f>
        <v>0</v>
      </c>
      <c r="S331" s="22">
        <f>IF(J331&lt;&gt;"0",J331,"")</f>
        <v>0</v>
      </c>
      <c r="T331" s="23"/>
      <c r="U331" s="23"/>
      <c r="V331" s="23"/>
      <c r="W331" s="23"/>
      <c r="X331" s="23"/>
    </row>
    <row r="332" spans="1:24" x14ac:dyDescent="0.2">
      <c r="A332" s="18"/>
      <c r="B332" s="19" t="str">
        <f>IF(A332="","",VLOOKUP(Planilla!A332,#REF!,2,FALSE))</f>
        <v/>
      </c>
      <c r="C332" s="19" t="str">
        <f>IF(B332="","",VLOOKUP(Planilla!A332,#REF!,3,FALSE))</f>
        <v/>
      </c>
      <c r="D332" s="20"/>
      <c r="E332" s="21"/>
      <c r="F332" s="21"/>
      <c r="G332" s="21"/>
      <c r="H332" s="21"/>
      <c r="I332" s="36"/>
      <c r="J332" s="36"/>
      <c r="K332" s="21"/>
      <c r="L332" s="21"/>
      <c r="M332" s="24">
        <f>IF(K332="",0,VLOOKUP(K332,#REF!,2,FALSE))</f>
        <v>0</v>
      </c>
      <c r="N332" s="24">
        <f>IF(L332="",0,VLOOKUP(L332,#REF!,2,FALSE))</f>
        <v>0</v>
      </c>
      <c r="O332" s="24">
        <f t="shared" si="9"/>
        <v>0</v>
      </c>
      <c r="P332" s="24">
        <f>IF(F332="Barrido","",O332)</f>
        <v>0</v>
      </c>
      <c r="Q332" s="24" t="str">
        <f>IF(F332="Barrido",O332,"")</f>
        <v/>
      </c>
      <c r="R332" s="24">
        <f>IF(I332&lt;&gt;"0",I332,"")</f>
        <v>0</v>
      </c>
      <c r="S332" s="22">
        <f>IF(J332&lt;&gt;"0",J332,"")</f>
        <v>0</v>
      </c>
      <c r="T332" s="23"/>
      <c r="U332" s="23"/>
      <c r="V332" s="23"/>
      <c r="W332" s="23"/>
      <c r="X332" s="23"/>
    </row>
    <row r="333" spans="1:24" x14ac:dyDescent="0.2">
      <c r="A333" s="18"/>
      <c r="B333" s="19" t="str">
        <f>IF(A333="","",VLOOKUP(Planilla!A333,#REF!,2,FALSE))</f>
        <v/>
      </c>
      <c r="C333" s="19" t="str">
        <f>IF(B333="","",VLOOKUP(Planilla!A333,#REF!,3,FALSE))</f>
        <v/>
      </c>
      <c r="D333" s="20"/>
      <c r="E333" s="21"/>
      <c r="F333" s="21"/>
      <c r="G333" s="21"/>
      <c r="H333" s="21"/>
      <c r="I333" s="36"/>
      <c r="J333" s="36"/>
      <c r="K333" s="21"/>
      <c r="L333" s="21"/>
      <c r="M333" s="24">
        <f>IF(K333="",0,VLOOKUP(K333,#REF!,2,FALSE))</f>
        <v>0</v>
      </c>
      <c r="N333" s="24">
        <f>IF(L333="",0,VLOOKUP(L333,#REF!,2,FALSE))</f>
        <v>0</v>
      </c>
      <c r="O333" s="24">
        <f t="shared" si="9"/>
        <v>0</v>
      </c>
      <c r="P333" s="24">
        <f>IF(F333="Barrido","",O333)</f>
        <v>0</v>
      </c>
      <c r="Q333" s="24" t="str">
        <f>IF(F333="Barrido",O333,"")</f>
        <v/>
      </c>
      <c r="R333" s="24">
        <f>IF(I333&lt;&gt;"0",I333,"")</f>
        <v>0</v>
      </c>
      <c r="S333" s="22">
        <f>IF(J333&lt;&gt;"0",J333,"")</f>
        <v>0</v>
      </c>
      <c r="T333" s="23"/>
      <c r="U333" s="23"/>
      <c r="V333" s="23"/>
      <c r="W333" s="23"/>
      <c r="X333" s="23"/>
    </row>
    <row r="334" spans="1:24" x14ac:dyDescent="0.2">
      <c r="A334" s="18"/>
      <c r="B334" s="19" t="str">
        <f>IF(A334="","",VLOOKUP(Planilla!A334,#REF!,2,FALSE))</f>
        <v/>
      </c>
      <c r="C334" s="19" t="str">
        <f>IF(B334="","",VLOOKUP(Planilla!A334,#REF!,3,FALSE))</f>
        <v/>
      </c>
      <c r="D334" s="20"/>
      <c r="E334" s="21"/>
      <c r="F334" s="21"/>
      <c r="G334" s="21"/>
      <c r="H334" s="21"/>
      <c r="I334" s="36"/>
      <c r="J334" s="36"/>
      <c r="K334" s="21"/>
      <c r="L334" s="21"/>
      <c r="M334" s="24">
        <f>IF(K334="",0,VLOOKUP(K334,#REF!,2,FALSE))</f>
        <v>0</v>
      </c>
      <c r="N334" s="24">
        <f>IF(L334="",0,VLOOKUP(L334,#REF!,2,FALSE))</f>
        <v>0</v>
      </c>
      <c r="O334" s="24">
        <f t="shared" si="9"/>
        <v>0</v>
      </c>
      <c r="P334" s="24">
        <f>IF(F334="Barrido","",O334)</f>
        <v>0</v>
      </c>
      <c r="Q334" s="24" t="str">
        <f>IF(F334="Barrido",O334,"")</f>
        <v/>
      </c>
      <c r="R334" s="24">
        <f>IF(I334&lt;&gt;"0",I334,"")</f>
        <v>0</v>
      </c>
      <c r="S334" s="22">
        <f>IF(J334&lt;&gt;"0",J334,"")</f>
        <v>0</v>
      </c>
      <c r="T334" s="23"/>
      <c r="U334" s="23"/>
      <c r="V334" s="23"/>
      <c r="W334" s="23"/>
      <c r="X334" s="23"/>
    </row>
    <row r="335" spans="1:24" x14ac:dyDescent="0.2">
      <c r="A335" s="18"/>
      <c r="B335" s="19" t="str">
        <f>IF(A335="","",VLOOKUP(Planilla!A335,#REF!,2,FALSE))</f>
        <v/>
      </c>
      <c r="C335" s="19" t="str">
        <f>IF(B335="","",VLOOKUP(Planilla!A335,#REF!,3,FALSE))</f>
        <v/>
      </c>
      <c r="D335" s="20"/>
      <c r="E335" s="21"/>
      <c r="F335" s="21"/>
      <c r="G335" s="21"/>
      <c r="H335" s="21"/>
      <c r="I335" s="36"/>
      <c r="J335" s="36"/>
      <c r="K335" s="21"/>
      <c r="L335" s="21"/>
      <c r="M335" s="24">
        <f>IF(K335="",0,VLOOKUP(K335,#REF!,2,FALSE))</f>
        <v>0</v>
      </c>
      <c r="N335" s="24">
        <f>IF(L335="",0,VLOOKUP(L335,#REF!,2,FALSE))</f>
        <v>0</v>
      </c>
      <c r="O335" s="24">
        <f t="shared" ref="O335:O398" si="10">M335+N335</f>
        <v>0</v>
      </c>
      <c r="P335" s="24">
        <f>IF(F335="Barrido","",O335)</f>
        <v>0</v>
      </c>
      <c r="Q335" s="24" t="str">
        <f>IF(F335="Barrido",O335,"")</f>
        <v/>
      </c>
      <c r="R335" s="24">
        <f>IF(I335&lt;&gt;"0",I335,"")</f>
        <v>0</v>
      </c>
      <c r="S335" s="22">
        <f>IF(J335&lt;&gt;"0",J335,"")</f>
        <v>0</v>
      </c>
      <c r="T335" s="23"/>
      <c r="U335" s="23"/>
      <c r="V335" s="23"/>
      <c r="W335" s="23"/>
      <c r="X335" s="23"/>
    </row>
    <row r="336" spans="1:24" x14ac:dyDescent="0.2">
      <c r="A336" s="18"/>
      <c r="B336" s="19" t="str">
        <f>IF(A336="","",VLOOKUP(Planilla!A336,#REF!,2,FALSE))</f>
        <v/>
      </c>
      <c r="C336" s="19" t="str">
        <f>IF(B336="","",VLOOKUP(Planilla!A336,#REF!,3,FALSE))</f>
        <v/>
      </c>
      <c r="D336" s="20"/>
      <c r="E336" s="21"/>
      <c r="F336" s="21"/>
      <c r="G336" s="21"/>
      <c r="H336" s="21"/>
      <c r="I336" s="36"/>
      <c r="J336" s="36"/>
      <c r="K336" s="21"/>
      <c r="L336" s="21"/>
      <c r="M336" s="24">
        <f>IF(K336="",0,VLOOKUP(K336,#REF!,2,FALSE))</f>
        <v>0</v>
      </c>
      <c r="N336" s="24">
        <f>IF(L336="",0,VLOOKUP(L336,#REF!,2,FALSE))</f>
        <v>0</v>
      </c>
      <c r="O336" s="24">
        <f t="shared" si="10"/>
        <v>0</v>
      </c>
      <c r="P336" s="24">
        <f>IF(F336="Barrido","",O336)</f>
        <v>0</v>
      </c>
      <c r="Q336" s="24" t="str">
        <f>IF(F336="Barrido",O336,"")</f>
        <v/>
      </c>
      <c r="R336" s="24">
        <f>IF(I336&lt;&gt;"0",I336,"")</f>
        <v>0</v>
      </c>
      <c r="S336" s="22">
        <f>IF(J336&lt;&gt;"0",J336,"")</f>
        <v>0</v>
      </c>
      <c r="T336" s="23"/>
      <c r="U336" s="23"/>
      <c r="V336" s="23"/>
      <c r="W336" s="23"/>
      <c r="X336" s="23"/>
    </row>
    <row r="337" spans="1:24" x14ac:dyDescent="0.2">
      <c r="A337" s="18"/>
      <c r="B337" s="19" t="str">
        <f>IF(A337="","",VLOOKUP(Planilla!A337,#REF!,2,FALSE))</f>
        <v/>
      </c>
      <c r="C337" s="19" t="str">
        <f>IF(B337="","",VLOOKUP(Planilla!A337,#REF!,3,FALSE))</f>
        <v/>
      </c>
      <c r="D337" s="20"/>
      <c r="E337" s="21"/>
      <c r="F337" s="21"/>
      <c r="G337" s="21"/>
      <c r="H337" s="21"/>
      <c r="I337" s="36"/>
      <c r="J337" s="36"/>
      <c r="K337" s="21"/>
      <c r="L337" s="21"/>
      <c r="M337" s="24">
        <f>IF(K337="",0,VLOOKUP(K337,#REF!,2,FALSE))</f>
        <v>0</v>
      </c>
      <c r="N337" s="24">
        <f>IF(L337="",0,VLOOKUP(L337,#REF!,2,FALSE))</f>
        <v>0</v>
      </c>
      <c r="O337" s="24">
        <f t="shared" si="10"/>
        <v>0</v>
      </c>
      <c r="P337" s="24">
        <f>IF(F337="Barrido","",O337)</f>
        <v>0</v>
      </c>
      <c r="Q337" s="24" t="str">
        <f>IF(F337="Barrido",O337,"")</f>
        <v/>
      </c>
      <c r="R337" s="24">
        <f>IF(I337&lt;&gt;"0",I337,"")</f>
        <v>0</v>
      </c>
      <c r="S337" s="22">
        <f>IF(J337&lt;&gt;"0",J337,"")</f>
        <v>0</v>
      </c>
      <c r="T337" s="23"/>
      <c r="U337" s="23"/>
      <c r="V337" s="23"/>
      <c r="W337" s="23"/>
      <c r="X337" s="23"/>
    </row>
    <row r="338" spans="1:24" x14ac:dyDescent="0.2">
      <c r="A338" s="18"/>
      <c r="B338" s="19" t="str">
        <f>IF(A338="","",VLOOKUP(Planilla!A338,#REF!,2,FALSE))</f>
        <v/>
      </c>
      <c r="C338" s="19" t="str">
        <f>IF(B338="","",VLOOKUP(Planilla!A338,#REF!,3,FALSE))</f>
        <v/>
      </c>
      <c r="D338" s="20"/>
      <c r="E338" s="21"/>
      <c r="F338" s="21"/>
      <c r="G338" s="21"/>
      <c r="H338" s="21"/>
      <c r="I338" s="36"/>
      <c r="J338" s="36"/>
      <c r="K338" s="21"/>
      <c r="L338" s="21"/>
      <c r="M338" s="24">
        <f>IF(K338="",0,VLOOKUP(K338,#REF!,2,FALSE))</f>
        <v>0</v>
      </c>
      <c r="N338" s="24">
        <f>IF(L338="",0,VLOOKUP(L338,#REF!,2,FALSE))</f>
        <v>0</v>
      </c>
      <c r="O338" s="24">
        <f t="shared" si="10"/>
        <v>0</v>
      </c>
      <c r="P338" s="24">
        <f>IF(F338="Barrido","",O338)</f>
        <v>0</v>
      </c>
      <c r="Q338" s="24" t="str">
        <f>IF(F338="Barrido",O338,"")</f>
        <v/>
      </c>
      <c r="R338" s="24">
        <f>IF(I338&lt;&gt;"0",I338,"")</f>
        <v>0</v>
      </c>
      <c r="S338" s="22">
        <f>IF(J338&lt;&gt;"0",J338,"")</f>
        <v>0</v>
      </c>
      <c r="T338" s="23"/>
      <c r="U338" s="23"/>
      <c r="V338" s="23"/>
      <c r="W338" s="23"/>
      <c r="X338" s="23"/>
    </row>
    <row r="339" spans="1:24" x14ac:dyDescent="0.2">
      <c r="A339" s="18"/>
      <c r="B339" s="19" t="str">
        <f>IF(A339="","",VLOOKUP(Planilla!A339,#REF!,2,FALSE))</f>
        <v/>
      </c>
      <c r="C339" s="19" t="str">
        <f>IF(B339="","",VLOOKUP(Planilla!A339,#REF!,3,FALSE))</f>
        <v/>
      </c>
      <c r="D339" s="20"/>
      <c r="E339" s="21"/>
      <c r="F339" s="21"/>
      <c r="G339" s="21"/>
      <c r="H339" s="21"/>
      <c r="I339" s="36"/>
      <c r="J339" s="36"/>
      <c r="K339" s="21"/>
      <c r="L339" s="21"/>
      <c r="M339" s="24">
        <f>IF(K339="",0,VLOOKUP(K339,#REF!,2,FALSE))</f>
        <v>0</v>
      </c>
      <c r="N339" s="24">
        <f>IF(L339="",0,VLOOKUP(L339,#REF!,2,FALSE))</f>
        <v>0</v>
      </c>
      <c r="O339" s="24">
        <f t="shared" si="10"/>
        <v>0</v>
      </c>
      <c r="P339" s="24">
        <f>IF(F339="Barrido","",O339)</f>
        <v>0</v>
      </c>
      <c r="Q339" s="24" t="str">
        <f>IF(F339="Barrido",O339,"")</f>
        <v/>
      </c>
      <c r="R339" s="24">
        <f>IF(I339&lt;&gt;"0",I339,"")</f>
        <v>0</v>
      </c>
      <c r="S339" s="22">
        <f>IF(J339&lt;&gt;"0",J339,"")</f>
        <v>0</v>
      </c>
      <c r="T339" s="23"/>
      <c r="U339" s="23"/>
      <c r="V339" s="23"/>
      <c r="W339" s="23"/>
      <c r="X339" s="23"/>
    </row>
    <row r="340" spans="1:24" x14ac:dyDescent="0.2">
      <c r="A340" s="18"/>
      <c r="B340" s="19" t="str">
        <f>IF(A340="","",VLOOKUP(Planilla!A340,#REF!,2,FALSE))</f>
        <v/>
      </c>
      <c r="C340" s="19" t="str">
        <f>IF(B340="","",VLOOKUP(Planilla!A340,#REF!,3,FALSE))</f>
        <v/>
      </c>
      <c r="D340" s="20"/>
      <c r="E340" s="21"/>
      <c r="F340" s="21"/>
      <c r="G340" s="21"/>
      <c r="H340" s="21"/>
      <c r="I340" s="36"/>
      <c r="J340" s="36"/>
      <c r="K340" s="21"/>
      <c r="L340" s="21"/>
      <c r="M340" s="24">
        <f>IF(K340="",0,VLOOKUP(K340,#REF!,2,FALSE))</f>
        <v>0</v>
      </c>
      <c r="N340" s="24">
        <f>IF(L340="",0,VLOOKUP(L340,#REF!,2,FALSE))</f>
        <v>0</v>
      </c>
      <c r="O340" s="24">
        <f t="shared" si="10"/>
        <v>0</v>
      </c>
      <c r="P340" s="24">
        <f>IF(F340="Barrido","",O340)</f>
        <v>0</v>
      </c>
      <c r="Q340" s="24" t="str">
        <f>IF(F340="Barrido",O340,"")</f>
        <v/>
      </c>
      <c r="R340" s="24">
        <f>IF(I340&lt;&gt;"0",I340,"")</f>
        <v>0</v>
      </c>
      <c r="S340" s="22">
        <f>IF(J340&lt;&gt;"0",J340,"")</f>
        <v>0</v>
      </c>
      <c r="T340" s="23"/>
      <c r="U340" s="23"/>
      <c r="V340" s="23"/>
      <c r="W340" s="23"/>
      <c r="X340" s="23"/>
    </row>
    <row r="341" spans="1:24" x14ac:dyDescent="0.2">
      <c r="A341" s="18"/>
      <c r="B341" s="19" t="str">
        <f>IF(A341="","",VLOOKUP(Planilla!A341,#REF!,2,FALSE))</f>
        <v/>
      </c>
      <c r="C341" s="19" t="str">
        <f>IF(B341="","",VLOOKUP(Planilla!A341,#REF!,3,FALSE))</f>
        <v/>
      </c>
      <c r="D341" s="20"/>
      <c r="E341" s="21"/>
      <c r="F341" s="21"/>
      <c r="G341" s="21"/>
      <c r="H341" s="21"/>
      <c r="I341" s="36"/>
      <c r="J341" s="36"/>
      <c r="K341" s="21"/>
      <c r="L341" s="21"/>
      <c r="M341" s="24">
        <f>IF(K341="",0,VLOOKUP(K341,#REF!,2,FALSE))</f>
        <v>0</v>
      </c>
      <c r="N341" s="24">
        <f>IF(L341="",0,VLOOKUP(L341,#REF!,2,FALSE))</f>
        <v>0</v>
      </c>
      <c r="O341" s="24">
        <f t="shared" si="10"/>
        <v>0</v>
      </c>
      <c r="P341" s="24">
        <f>IF(F341="Barrido","",O341)</f>
        <v>0</v>
      </c>
      <c r="Q341" s="24" t="str">
        <f>IF(F341="Barrido",O341,"")</f>
        <v/>
      </c>
      <c r="R341" s="24">
        <f>IF(I341&lt;&gt;"0",I341,"")</f>
        <v>0</v>
      </c>
      <c r="S341" s="22">
        <f>IF(J341&lt;&gt;"0",J341,"")</f>
        <v>0</v>
      </c>
      <c r="T341" s="23"/>
      <c r="U341" s="23"/>
      <c r="V341" s="23"/>
      <c r="W341" s="23"/>
      <c r="X341" s="23"/>
    </row>
    <row r="342" spans="1:24" x14ac:dyDescent="0.2">
      <c r="A342" s="18"/>
      <c r="B342" s="19" t="str">
        <f>IF(A342="","",VLOOKUP(Planilla!A342,#REF!,2,FALSE))</f>
        <v/>
      </c>
      <c r="C342" s="19" t="str">
        <f>IF(B342="","",VLOOKUP(Planilla!A342,#REF!,3,FALSE))</f>
        <v/>
      </c>
      <c r="D342" s="20"/>
      <c r="E342" s="21"/>
      <c r="F342" s="21"/>
      <c r="G342" s="21"/>
      <c r="H342" s="21"/>
      <c r="I342" s="36"/>
      <c r="J342" s="36"/>
      <c r="K342" s="21"/>
      <c r="L342" s="21"/>
      <c r="M342" s="24">
        <f>IF(K342="",0,VLOOKUP(K342,#REF!,2,FALSE))</f>
        <v>0</v>
      </c>
      <c r="N342" s="24">
        <f>IF(L342="",0,VLOOKUP(L342,#REF!,2,FALSE))</f>
        <v>0</v>
      </c>
      <c r="O342" s="24">
        <f t="shared" si="10"/>
        <v>0</v>
      </c>
      <c r="P342" s="24">
        <f>IF(F342="Barrido","",O342)</f>
        <v>0</v>
      </c>
      <c r="Q342" s="24" t="str">
        <f>IF(F342="Barrido",O342,"")</f>
        <v/>
      </c>
      <c r="R342" s="24">
        <f>IF(I342&lt;&gt;"0",I342,"")</f>
        <v>0</v>
      </c>
      <c r="S342" s="22">
        <f>IF(J342&lt;&gt;"0",J342,"")</f>
        <v>0</v>
      </c>
      <c r="T342" s="23"/>
      <c r="U342" s="23"/>
      <c r="V342" s="23"/>
      <c r="W342" s="23"/>
      <c r="X342" s="23"/>
    </row>
    <row r="343" spans="1:24" x14ac:dyDescent="0.2">
      <c r="A343" s="18"/>
      <c r="B343" s="19" t="str">
        <f>IF(A343="","",VLOOKUP(Planilla!A343,#REF!,2,FALSE))</f>
        <v/>
      </c>
      <c r="C343" s="19" t="str">
        <f>IF(B343="","",VLOOKUP(Planilla!A343,#REF!,3,FALSE))</f>
        <v/>
      </c>
      <c r="D343" s="20"/>
      <c r="E343" s="21"/>
      <c r="F343" s="21"/>
      <c r="G343" s="21"/>
      <c r="H343" s="21"/>
      <c r="I343" s="36"/>
      <c r="J343" s="36"/>
      <c r="K343" s="21"/>
      <c r="L343" s="21"/>
      <c r="M343" s="24">
        <f>IF(K343="",0,VLOOKUP(K343,#REF!,2,FALSE))</f>
        <v>0</v>
      </c>
      <c r="N343" s="24">
        <f>IF(L343="",0,VLOOKUP(L343,#REF!,2,FALSE))</f>
        <v>0</v>
      </c>
      <c r="O343" s="24">
        <f t="shared" si="10"/>
        <v>0</v>
      </c>
      <c r="P343" s="24">
        <f>IF(F343="Barrido","",O343)</f>
        <v>0</v>
      </c>
      <c r="Q343" s="24" t="str">
        <f>IF(F343="Barrido",O343,"")</f>
        <v/>
      </c>
      <c r="R343" s="24">
        <f>IF(I343&lt;&gt;"0",I343,"")</f>
        <v>0</v>
      </c>
      <c r="S343" s="22">
        <f>IF(J343&lt;&gt;"0",J343,"")</f>
        <v>0</v>
      </c>
      <c r="T343" s="23"/>
      <c r="U343" s="23"/>
      <c r="V343" s="23"/>
      <c r="W343" s="23"/>
      <c r="X343" s="23"/>
    </row>
    <row r="344" spans="1:24" x14ac:dyDescent="0.2">
      <c r="A344" s="18"/>
      <c r="B344" s="19" t="str">
        <f>IF(A344="","",VLOOKUP(Planilla!A344,#REF!,2,FALSE))</f>
        <v/>
      </c>
      <c r="C344" s="19" t="str">
        <f>IF(B344="","",VLOOKUP(Planilla!A344,#REF!,3,FALSE))</f>
        <v/>
      </c>
      <c r="D344" s="20"/>
      <c r="E344" s="21"/>
      <c r="F344" s="21"/>
      <c r="G344" s="21"/>
      <c r="H344" s="21"/>
      <c r="I344" s="36"/>
      <c r="J344" s="36"/>
      <c r="K344" s="21"/>
      <c r="L344" s="21"/>
      <c r="M344" s="24">
        <f>IF(K344="",0,VLOOKUP(K344,#REF!,2,FALSE))</f>
        <v>0</v>
      </c>
      <c r="N344" s="24">
        <f>IF(L344="",0,VLOOKUP(L344,#REF!,2,FALSE))</f>
        <v>0</v>
      </c>
      <c r="O344" s="24">
        <f t="shared" si="10"/>
        <v>0</v>
      </c>
      <c r="P344" s="24">
        <f>IF(F344="Barrido","",O344)</f>
        <v>0</v>
      </c>
      <c r="Q344" s="24" t="str">
        <f>IF(F344="Barrido",O344,"")</f>
        <v/>
      </c>
      <c r="R344" s="24">
        <f>IF(I344&lt;&gt;"0",I344,"")</f>
        <v>0</v>
      </c>
      <c r="S344" s="22">
        <f>IF(J344&lt;&gt;"0",J344,"")</f>
        <v>0</v>
      </c>
      <c r="T344" s="23"/>
      <c r="U344" s="23"/>
      <c r="V344" s="23"/>
      <c r="W344" s="23"/>
      <c r="X344" s="23"/>
    </row>
    <row r="345" spans="1:24" x14ac:dyDescent="0.2">
      <c r="A345" s="18"/>
      <c r="B345" s="19" t="str">
        <f>IF(A345="","",VLOOKUP(Planilla!A345,#REF!,2,FALSE))</f>
        <v/>
      </c>
      <c r="C345" s="19" t="str">
        <f>IF(B345="","",VLOOKUP(Planilla!A345,#REF!,3,FALSE))</f>
        <v/>
      </c>
      <c r="D345" s="20"/>
      <c r="E345" s="21"/>
      <c r="F345" s="21"/>
      <c r="G345" s="21"/>
      <c r="H345" s="21"/>
      <c r="I345" s="36"/>
      <c r="J345" s="36"/>
      <c r="K345" s="21"/>
      <c r="L345" s="21"/>
      <c r="M345" s="24">
        <f>IF(K345="",0,VLOOKUP(K345,#REF!,2,FALSE))</f>
        <v>0</v>
      </c>
      <c r="N345" s="24">
        <f>IF(L345="",0,VLOOKUP(L345,#REF!,2,FALSE))</f>
        <v>0</v>
      </c>
      <c r="O345" s="24">
        <f t="shared" si="10"/>
        <v>0</v>
      </c>
      <c r="P345" s="24">
        <f>IF(F345="Barrido","",O345)</f>
        <v>0</v>
      </c>
      <c r="Q345" s="24" t="str">
        <f>IF(F345="Barrido",O345,"")</f>
        <v/>
      </c>
      <c r="R345" s="24">
        <f>IF(I345&lt;&gt;"0",I345,"")</f>
        <v>0</v>
      </c>
      <c r="S345" s="22">
        <f>IF(J345&lt;&gt;"0",J345,"")</f>
        <v>0</v>
      </c>
      <c r="T345" s="23"/>
      <c r="U345" s="23"/>
      <c r="V345" s="23"/>
      <c r="W345" s="23"/>
      <c r="X345" s="23"/>
    </row>
    <row r="346" spans="1:24" x14ac:dyDescent="0.2">
      <c r="A346" s="18"/>
      <c r="B346" s="19" t="str">
        <f>IF(A346="","",VLOOKUP(Planilla!A346,#REF!,2,FALSE))</f>
        <v/>
      </c>
      <c r="C346" s="19" t="str">
        <f>IF(B346="","",VLOOKUP(Planilla!A346,#REF!,3,FALSE))</f>
        <v/>
      </c>
      <c r="D346" s="20"/>
      <c r="E346" s="21"/>
      <c r="F346" s="21"/>
      <c r="G346" s="21"/>
      <c r="H346" s="21"/>
      <c r="I346" s="36"/>
      <c r="J346" s="36"/>
      <c r="K346" s="21"/>
      <c r="L346" s="21"/>
      <c r="M346" s="24">
        <f>IF(K346="",0,VLOOKUP(K346,#REF!,2,FALSE))</f>
        <v>0</v>
      </c>
      <c r="N346" s="24">
        <f>IF(L346="",0,VLOOKUP(L346,#REF!,2,FALSE))</f>
        <v>0</v>
      </c>
      <c r="O346" s="24">
        <f t="shared" si="10"/>
        <v>0</v>
      </c>
      <c r="P346" s="24">
        <f>IF(F346="Barrido","",O346)</f>
        <v>0</v>
      </c>
      <c r="Q346" s="24" t="str">
        <f>IF(F346="Barrido",O346,"")</f>
        <v/>
      </c>
      <c r="R346" s="24">
        <f>IF(I346&lt;&gt;"0",I346,"")</f>
        <v>0</v>
      </c>
      <c r="S346" s="22">
        <f>IF(J346&lt;&gt;"0",J346,"")</f>
        <v>0</v>
      </c>
      <c r="T346" s="23"/>
      <c r="U346" s="23"/>
      <c r="V346" s="23"/>
      <c r="W346" s="23"/>
      <c r="X346" s="23"/>
    </row>
    <row r="347" spans="1:24" x14ac:dyDescent="0.2">
      <c r="A347" s="18"/>
      <c r="B347" s="19" t="str">
        <f>IF(A347="","",VLOOKUP(Planilla!A347,#REF!,2,FALSE))</f>
        <v/>
      </c>
      <c r="C347" s="19" t="str">
        <f>IF(B347="","",VLOOKUP(Planilla!A347,#REF!,3,FALSE))</f>
        <v/>
      </c>
      <c r="D347" s="20"/>
      <c r="E347" s="21"/>
      <c r="F347" s="21"/>
      <c r="G347" s="21"/>
      <c r="H347" s="21"/>
      <c r="I347" s="36"/>
      <c r="J347" s="36"/>
      <c r="K347" s="21"/>
      <c r="L347" s="21"/>
      <c r="M347" s="24">
        <f>IF(K347="",0,VLOOKUP(K347,#REF!,2,FALSE))</f>
        <v>0</v>
      </c>
      <c r="N347" s="24">
        <f>IF(L347="",0,VLOOKUP(L347,#REF!,2,FALSE))</f>
        <v>0</v>
      </c>
      <c r="O347" s="24">
        <f t="shared" si="10"/>
        <v>0</v>
      </c>
      <c r="P347" s="24">
        <f>IF(F347="Barrido","",O347)</f>
        <v>0</v>
      </c>
      <c r="Q347" s="24" t="str">
        <f>IF(F347="Barrido",O347,"")</f>
        <v/>
      </c>
      <c r="R347" s="24">
        <f>IF(I347&lt;&gt;"0",I347,"")</f>
        <v>0</v>
      </c>
      <c r="S347" s="22">
        <f>IF(J347&lt;&gt;"0",J347,"")</f>
        <v>0</v>
      </c>
      <c r="T347" s="23"/>
      <c r="U347" s="23"/>
      <c r="V347" s="23"/>
      <c r="W347" s="23"/>
      <c r="X347" s="23"/>
    </row>
    <row r="348" spans="1:24" x14ac:dyDescent="0.2">
      <c r="A348" s="18"/>
      <c r="B348" s="19" t="str">
        <f>IF(A348="","",VLOOKUP(Planilla!A348,#REF!,2,FALSE))</f>
        <v/>
      </c>
      <c r="C348" s="19" t="str">
        <f>IF(B348="","",VLOOKUP(Planilla!A348,#REF!,3,FALSE))</f>
        <v/>
      </c>
      <c r="D348" s="20"/>
      <c r="E348" s="21"/>
      <c r="F348" s="21"/>
      <c r="G348" s="21"/>
      <c r="H348" s="21"/>
      <c r="I348" s="36"/>
      <c r="J348" s="36"/>
      <c r="K348" s="21"/>
      <c r="L348" s="21"/>
      <c r="M348" s="24">
        <f>IF(K348="",0,VLOOKUP(K348,#REF!,2,FALSE))</f>
        <v>0</v>
      </c>
      <c r="N348" s="24">
        <f>IF(L348="",0,VLOOKUP(L348,#REF!,2,FALSE))</f>
        <v>0</v>
      </c>
      <c r="O348" s="24">
        <f t="shared" si="10"/>
        <v>0</v>
      </c>
      <c r="P348" s="24">
        <f>IF(F348="Barrido","",O348)</f>
        <v>0</v>
      </c>
      <c r="Q348" s="24" t="str">
        <f>IF(F348="Barrido",O348,"")</f>
        <v/>
      </c>
      <c r="R348" s="24">
        <f>IF(I348&lt;&gt;"0",I348,"")</f>
        <v>0</v>
      </c>
      <c r="S348" s="22">
        <f>IF(J348&lt;&gt;"0",J348,"")</f>
        <v>0</v>
      </c>
      <c r="T348" s="23"/>
      <c r="U348" s="23"/>
      <c r="V348" s="23"/>
      <c r="W348" s="23"/>
      <c r="X348" s="23"/>
    </row>
    <row r="349" spans="1:24" x14ac:dyDescent="0.2">
      <c r="A349" s="18"/>
      <c r="B349" s="19" t="str">
        <f>IF(A349="","",VLOOKUP(Planilla!A349,#REF!,2,FALSE))</f>
        <v/>
      </c>
      <c r="C349" s="19" t="str">
        <f>IF(B349="","",VLOOKUP(Planilla!A349,#REF!,3,FALSE))</f>
        <v/>
      </c>
      <c r="D349" s="20"/>
      <c r="E349" s="21"/>
      <c r="F349" s="21"/>
      <c r="G349" s="21"/>
      <c r="H349" s="21"/>
      <c r="I349" s="36"/>
      <c r="J349" s="36"/>
      <c r="K349" s="21"/>
      <c r="L349" s="21"/>
      <c r="M349" s="24">
        <f>IF(K349="",0,VLOOKUP(K349,#REF!,2,FALSE))</f>
        <v>0</v>
      </c>
      <c r="N349" s="24">
        <f>IF(L349="",0,VLOOKUP(L349,#REF!,2,FALSE))</f>
        <v>0</v>
      </c>
      <c r="O349" s="24">
        <f t="shared" si="10"/>
        <v>0</v>
      </c>
      <c r="P349" s="24">
        <f>IF(F349="Barrido","",O349)</f>
        <v>0</v>
      </c>
      <c r="Q349" s="24" t="str">
        <f>IF(F349="Barrido",O349,"")</f>
        <v/>
      </c>
      <c r="R349" s="24">
        <f>IF(I349&lt;&gt;"0",I349,"")</f>
        <v>0</v>
      </c>
      <c r="S349" s="22">
        <f>IF(J349&lt;&gt;"0",J349,"")</f>
        <v>0</v>
      </c>
      <c r="T349" s="23"/>
      <c r="U349" s="23"/>
      <c r="V349" s="23"/>
      <c r="W349" s="23"/>
      <c r="X349" s="23"/>
    </row>
    <row r="350" spans="1:24" x14ac:dyDescent="0.2">
      <c r="A350" s="18"/>
      <c r="B350" s="19" t="str">
        <f>IF(A350="","",VLOOKUP(Planilla!A350,#REF!,2,FALSE))</f>
        <v/>
      </c>
      <c r="C350" s="19" t="str">
        <f>IF(B350="","",VLOOKUP(Planilla!A350,#REF!,3,FALSE))</f>
        <v/>
      </c>
      <c r="D350" s="20"/>
      <c r="E350" s="21"/>
      <c r="F350" s="21"/>
      <c r="G350" s="21"/>
      <c r="H350" s="21"/>
      <c r="I350" s="36"/>
      <c r="J350" s="36"/>
      <c r="K350" s="21"/>
      <c r="L350" s="21"/>
      <c r="M350" s="24">
        <f>IF(K350="",0,VLOOKUP(K350,#REF!,2,FALSE))</f>
        <v>0</v>
      </c>
      <c r="N350" s="24">
        <f>IF(L350="",0,VLOOKUP(L350,#REF!,2,FALSE))</f>
        <v>0</v>
      </c>
      <c r="O350" s="24">
        <f t="shared" si="10"/>
        <v>0</v>
      </c>
      <c r="P350" s="24">
        <f>IF(F350="Barrido","",O350)</f>
        <v>0</v>
      </c>
      <c r="Q350" s="24" t="str">
        <f>IF(F350="Barrido",O350,"")</f>
        <v/>
      </c>
      <c r="R350" s="24">
        <f>IF(I350&lt;&gt;"0",I350,"")</f>
        <v>0</v>
      </c>
      <c r="S350" s="22">
        <f>IF(J350&lt;&gt;"0",J350,"")</f>
        <v>0</v>
      </c>
      <c r="T350" s="23"/>
      <c r="U350" s="23"/>
      <c r="V350" s="23"/>
      <c r="W350" s="23"/>
      <c r="X350" s="23"/>
    </row>
    <row r="351" spans="1:24" x14ac:dyDescent="0.2">
      <c r="A351" s="18"/>
      <c r="B351" s="19" t="str">
        <f>IF(A351="","",VLOOKUP(Planilla!A351,#REF!,2,FALSE))</f>
        <v/>
      </c>
      <c r="C351" s="19" t="str">
        <f>IF(B351="","",VLOOKUP(Planilla!A351,#REF!,3,FALSE))</f>
        <v/>
      </c>
      <c r="D351" s="20"/>
      <c r="E351" s="21"/>
      <c r="F351" s="21"/>
      <c r="G351" s="21"/>
      <c r="H351" s="21"/>
      <c r="I351" s="36"/>
      <c r="J351" s="36"/>
      <c r="K351" s="21"/>
      <c r="L351" s="21"/>
      <c r="M351" s="24">
        <f>IF(K351="",0,VLOOKUP(K351,#REF!,2,FALSE))</f>
        <v>0</v>
      </c>
      <c r="N351" s="24">
        <f>IF(L351="",0,VLOOKUP(L351,#REF!,2,FALSE))</f>
        <v>0</v>
      </c>
      <c r="O351" s="24">
        <f t="shared" si="10"/>
        <v>0</v>
      </c>
      <c r="P351" s="24">
        <f>IF(F351="Barrido","",O351)</f>
        <v>0</v>
      </c>
      <c r="Q351" s="24" t="str">
        <f>IF(F351="Barrido",O351,"")</f>
        <v/>
      </c>
      <c r="R351" s="24">
        <f>IF(I351&lt;&gt;"0",I351,"")</f>
        <v>0</v>
      </c>
      <c r="S351" s="22">
        <f>IF(J351&lt;&gt;"0",J351,"")</f>
        <v>0</v>
      </c>
      <c r="T351" s="23"/>
      <c r="U351" s="23"/>
      <c r="V351" s="23"/>
      <c r="W351" s="23"/>
      <c r="X351" s="23"/>
    </row>
    <row r="352" spans="1:24" x14ac:dyDescent="0.2">
      <c r="A352" s="18"/>
      <c r="B352" s="19" t="str">
        <f>IF(A352="","",VLOOKUP(Planilla!A352,#REF!,2,FALSE))</f>
        <v/>
      </c>
      <c r="C352" s="19" t="str">
        <f>IF(B352="","",VLOOKUP(Planilla!A352,#REF!,3,FALSE))</f>
        <v/>
      </c>
      <c r="D352" s="20"/>
      <c r="E352" s="21"/>
      <c r="F352" s="21"/>
      <c r="G352" s="21"/>
      <c r="H352" s="21"/>
      <c r="I352" s="36"/>
      <c r="J352" s="36"/>
      <c r="K352" s="21"/>
      <c r="L352" s="21"/>
      <c r="M352" s="24">
        <f>IF(K352="",0,VLOOKUP(K352,#REF!,2,FALSE))</f>
        <v>0</v>
      </c>
      <c r="N352" s="24">
        <f>IF(L352="",0,VLOOKUP(L352,#REF!,2,FALSE))</f>
        <v>0</v>
      </c>
      <c r="O352" s="24">
        <f t="shared" si="10"/>
        <v>0</v>
      </c>
      <c r="P352" s="24">
        <f>IF(F352="Barrido","",O352)</f>
        <v>0</v>
      </c>
      <c r="Q352" s="24" t="str">
        <f>IF(F352="Barrido",O352,"")</f>
        <v/>
      </c>
      <c r="R352" s="24">
        <f>IF(I352&lt;&gt;"0",I352,"")</f>
        <v>0</v>
      </c>
      <c r="S352" s="22">
        <f>IF(J352&lt;&gt;"0",J352,"")</f>
        <v>0</v>
      </c>
      <c r="T352" s="23"/>
      <c r="U352" s="23"/>
      <c r="V352" s="23"/>
      <c r="W352" s="23"/>
      <c r="X352" s="23"/>
    </row>
    <row r="353" spans="1:24" x14ac:dyDescent="0.2">
      <c r="A353" s="18"/>
      <c r="B353" s="19" t="str">
        <f>IF(A353="","",VLOOKUP(Planilla!A353,#REF!,2,FALSE))</f>
        <v/>
      </c>
      <c r="C353" s="19" t="str">
        <f>IF(B353="","",VLOOKUP(Planilla!A353,#REF!,3,FALSE))</f>
        <v/>
      </c>
      <c r="D353" s="20"/>
      <c r="E353" s="21"/>
      <c r="F353" s="21"/>
      <c r="G353" s="21"/>
      <c r="H353" s="21"/>
      <c r="I353" s="36"/>
      <c r="J353" s="36"/>
      <c r="K353" s="21"/>
      <c r="L353" s="21"/>
      <c r="M353" s="24">
        <f>IF(K353="",0,VLOOKUP(K353,#REF!,2,FALSE))</f>
        <v>0</v>
      </c>
      <c r="N353" s="24">
        <f>IF(L353="",0,VLOOKUP(L353,#REF!,2,FALSE))</f>
        <v>0</v>
      </c>
      <c r="O353" s="24">
        <f t="shared" si="10"/>
        <v>0</v>
      </c>
      <c r="P353" s="24">
        <f>IF(F353="Barrido","",O353)</f>
        <v>0</v>
      </c>
      <c r="Q353" s="24" t="str">
        <f>IF(F353="Barrido",O353,"")</f>
        <v/>
      </c>
      <c r="R353" s="24">
        <f>IF(I353&lt;&gt;"0",I353,"")</f>
        <v>0</v>
      </c>
      <c r="S353" s="22">
        <f>IF(J353&lt;&gt;"0",J353,"")</f>
        <v>0</v>
      </c>
      <c r="T353" s="23"/>
      <c r="U353" s="23"/>
      <c r="V353" s="23"/>
      <c r="W353" s="23"/>
      <c r="X353" s="23"/>
    </row>
    <row r="354" spans="1:24" x14ac:dyDescent="0.2">
      <c r="A354" s="18"/>
      <c r="B354" s="19" t="str">
        <f>IF(A354="","",VLOOKUP(Planilla!A354,#REF!,2,FALSE))</f>
        <v/>
      </c>
      <c r="C354" s="19" t="str">
        <f>IF(B354="","",VLOOKUP(Planilla!A354,#REF!,3,FALSE))</f>
        <v/>
      </c>
      <c r="D354" s="20"/>
      <c r="E354" s="21"/>
      <c r="F354" s="21"/>
      <c r="G354" s="21"/>
      <c r="H354" s="21"/>
      <c r="I354" s="36"/>
      <c r="J354" s="36"/>
      <c r="K354" s="21"/>
      <c r="L354" s="21"/>
      <c r="M354" s="24">
        <f>IF(K354="",0,VLOOKUP(K354,#REF!,2,FALSE))</f>
        <v>0</v>
      </c>
      <c r="N354" s="24">
        <f>IF(L354="",0,VLOOKUP(L354,#REF!,2,FALSE))</f>
        <v>0</v>
      </c>
      <c r="O354" s="24">
        <f t="shared" si="10"/>
        <v>0</v>
      </c>
      <c r="P354" s="24">
        <f>IF(F354="Barrido","",O354)</f>
        <v>0</v>
      </c>
      <c r="Q354" s="24" t="str">
        <f>IF(F354="Barrido",O354,"")</f>
        <v/>
      </c>
      <c r="R354" s="24">
        <f>IF(I354&lt;&gt;"0",I354,"")</f>
        <v>0</v>
      </c>
      <c r="S354" s="22">
        <f>IF(J354&lt;&gt;"0",J354,"")</f>
        <v>0</v>
      </c>
      <c r="T354" s="23"/>
      <c r="U354" s="23"/>
      <c r="V354" s="23"/>
      <c r="W354" s="23"/>
      <c r="X354" s="23"/>
    </row>
    <row r="355" spans="1:24" x14ac:dyDescent="0.2">
      <c r="A355" s="18"/>
      <c r="B355" s="19" t="str">
        <f>IF(A355="","",VLOOKUP(Planilla!A355,#REF!,2,FALSE))</f>
        <v/>
      </c>
      <c r="C355" s="19" t="str">
        <f>IF(B355="","",VLOOKUP(Planilla!A355,#REF!,3,FALSE))</f>
        <v/>
      </c>
      <c r="D355" s="20"/>
      <c r="E355" s="21"/>
      <c r="F355" s="21"/>
      <c r="G355" s="21"/>
      <c r="H355" s="21"/>
      <c r="I355" s="36"/>
      <c r="J355" s="36"/>
      <c r="K355" s="21"/>
      <c r="L355" s="21"/>
      <c r="M355" s="24">
        <f>IF(K355="",0,VLOOKUP(K355,#REF!,2,FALSE))</f>
        <v>0</v>
      </c>
      <c r="N355" s="24">
        <f>IF(L355="",0,VLOOKUP(L355,#REF!,2,FALSE))</f>
        <v>0</v>
      </c>
      <c r="O355" s="24">
        <f t="shared" si="10"/>
        <v>0</v>
      </c>
      <c r="P355" s="24">
        <f>IF(F355="Barrido","",O355)</f>
        <v>0</v>
      </c>
      <c r="Q355" s="24" t="str">
        <f>IF(F355="Barrido",O355,"")</f>
        <v/>
      </c>
      <c r="R355" s="24">
        <f>IF(I355&lt;&gt;"0",I355,"")</f>
        <v>0</v>
      </c>
      <c r="S355" s="22">
        <f>IF(J355&lt;&gt;"0",J355,"")</f>
        <v>0</v>
      </c>
      <c r="T355" s="23"/>
      <c r="U355" s="23"/>
      <c r="V355" s="23"/>
      <c r="W355" s="23"/>
      <c r="X355" s="23"/>
    </row>
    <row r="356" spans="1:24" x14ac:dyDescent="0.2">
      <c r="A356" s="18"/>
      <c r="B356" s="19" t="str">
        <f>IF(A356="","",VLOOKUP(Planilla!A356,#REF!,2,FALSE))</f>
        <v/>
      </c>
      <c r="C356" s="19" t="str">
        <f>IF(B356="","",VLOOKUP(Planilla!A356,#REF!,3,FALSE))</f>
        <v/>
      </c>
      <c r="D356" s="20"/>
      <c r="E356" s="21"/>
      <c r="F356" s="21"/>
      <c r="G356" s="21"/>
      <c r="H356" s="21"/>
      <c r="I356" s="36"/>
      <c r="J356" s="36"/>
      <c r="K356" s="21"/>
      <c r="L356" s="21"/>
      <c r="M356" s="24">
        <f>IF(K356="",0,VLOOKUP(K356,#REF!,2,FALSE))</f>
        <v>0</v>
      </c>
      <c r="N356" s="24">
        <f>IF(L356="",0,VLOOKUP(L356,#REF!,2,FALSE))</f>
        <v>0</v>
      </c>
      <c r="O356" s="24">
        <f t="shared" si="10"/>
        <v>0</v>
      </c>
      <c r="P356" s="24">
        <f>IF(F356="Barrido","",O356)</f>
        <v>0</v>
      </c>
      <c r="Q356" s="24" t="str">
        <f>IF(F356="Barrido",O356,"")</f>
        <v/>
      </c>
      <c r="R356" s="24">
        <f>IF(I356&lt;&gt;"0",I356,"")</f>
        <v>0</v>
      </c>
      <c r="S356" s="22">
        <f>IF(J356&lt;&gt;"0",J356,"")</f>
        <v>0</v>
      </c>
      <c r="T356" s="23"/>
      <c r="U356" s="23"/>
      <c r="V356" s="23"/>
      <c r="W356" s="23"/>
      <c r="X356" s="23"/>
    </row>
    <row r="357" spans="1:24" x14ac:dyDescent="0.2">
      <c r="A357" s="18"/>
      <c r="B357" s="19" t="str">
        <f>IF(A357="","",VLOOKUP(Planilla!A357,#REF!,2,FALSE))</f>
        <v/>
      </c>
      <c r="C357" s="19" t="str">
        <f>IF(B357="","",VLOOKUP(Planilla!A357,#REF!,3,FALSE))</f>
        <v/>
      </c>
      <c r="D357" s="20"/>
      <c r="E357" s="21"/>
      <c r="F357" s="21"/>
      <c r="G357" s="21"/>
      <c r="H357" s="21"/>
      <c r="I357" s="36"/>
      <c r="J357" s="36"/>
      <c r="K357" s="21"/>
      <c r="L357" s="21"/>
      <c r="M357" s="24">
        <f>IF(K357="",0,VLOOKUP(K357,#REF!,2,FALSE))</f>
        <v>0</v>
      </c>
      <c r="N357" s="24">
        <f>IF(L357="",0,VLOOKUP(L357,#REF!,2,FALSE))</f>
        <v>0</v>
      </c>
      <c r="O357" s="24">
        <f t="shared" si="10"/>
        <v>0</v>
      </c>
      <c r="P357" s="24">
        <f>IF(F357="Barrido","",O357)</f>
        <v>0</v>
      </c>
      <c r="Q357" s="24" t="str">
        <f>IF(F357="Barrido",O357,"")</f>
        <v/>
      </c>
      <c r="R357" s="24">
        <f>IF(I357&lt;&gt;"0",I357,"")</f>
        <v>0</v>
      </c>
      <c r="S357" s="22">
        <f>IF(J357&lt;&gt;"0",J357,"")</f>
        <v>0</v>
      </c>
      <c r="T357" s="23"/>
      <c r="U357" s="23"/>
      <c r="V357" s="23"/>
      <c r="W357" s="23"/>
      <c r="X357" s="23"/>
    </row>
    <row r="358" spans="1:24" x14ac:dyDescent="0.2">
      <c r="A358" s="18"/>
      <c r="B358" s="19" t="str">
        <f>IF(A358="","",VLOOKUP(Planilla!A358,#REF!,2,FALSE))</f>
        <v/>
      </c>
      <c r="C358" s="19" t="str">
        <f>IF(B358="","",VLOOKUP(Planilla!A358,#REF!,3,FALSE))</f>
        <v/>
      </c>
      <c r="D358" s="20"/>
      <c r="E358" s="21"/>
      <c r="F358" s="21"/>
      <c r="G358" s="21"/>
      <c r="H358" s="21"/>
      <c r="I358" s="36"/>
      <c r="J358" s="36"/>
      <c r="K358" s="21"/>
      <c r="L358" s="21"/>
      <c r="M358" s="24">
        <f>IF(K358="",0,VLOOKUP(K358,#REF!,2,FALSE))</f>
        <v>0</v>
      </c>
      <c r="N358" s="24">
        <f>IF(L358="",0,VLOOKUP(L358,#REF!,2,FALSE))</f>
        <v>0</v>
      </c>
      <c r="O358" s="24">
        <f t="shared" si="10"/>
        <v>0</v>
      </c>
      <c r="P358" s="24">
        <f>IF(F358="Barrido","",O358)</f>
        <v>0</v>
      </c>
      <c r="Q358" s="24" t="str">
        <f>IF(F358="Barrido",O358,"")</f>
        <v/>
      </c>
      <c r="R358" s="24">
        <f>IF(I358&lt;&gt;"0",I358,"")</f>
        <v>0</v>
      </c>
      <c r="S358" s="22">
        <f>IF(J358&lt;&gt;"0",J358,"")</f>
        <v>0</v>
      </c>
      <c r="T358" s="23"/>
      <c r="U358" s="23"/>
      <c r="V358" s="23"/>
      <c r="W358" s="23"/>
      <c r="X358" s="23"/>
    </row>
    <row r="359" spans="1:24" x14ac:dyDescent="0.2">
      <c r="A359" s="18"/>
      <c r="B359" s="19" t="str">
        <f>IF(A359="","",VLOOKUP(Planilla!A359,#REF!,2,FALSE))</f>
        <v/>
      </c>
      <c r="C359" s="19" t="str">
        <f>IF(B359="","",VLOOKUP(Planilla!A359,#REF!,3,FALSE))</f>
        <v/>
      </c>
      <c r="D359" s="20"/>
      <c r="E359" s="21"/>
      <c r="F359" s="21"/>
      <c r="G359" s="21"/>
      <c r="H359" s="21"/>
      <c r="I359" s="36"/>
      <c r="J359" s="36"/>
      <c r="K359" s="21"/>
      <c r="L359" s="21"/>
      <c r="M359" s="24">
        <f>IF(K359="",0,VLOOKUP(K359,#REF!,2,FALSE))</f>
        <v>0</v>
      </c>
      <c r="N359" s="24">
        <f>IF(L359="",0,VLOOKUP(L359,#REF!,2,FALSE))</f>
        <v>0</v>
      </c>
      <c r="O359" s="24">
        <f t="shared" si="10"/>
        <v>0</v>
      </c>
      <c r="P359" s="24">
        <f>IF(F359="Barrido","",O359)</f>
        <v>0</v>
      </c>
      <c r="Q359" s="24" t="str">
        <f>IF(F359="Barrido",O359,"")</f>
        <v/>
      </c>
      <c r="R359" s="24">
        <f>IF(I359&lt;&gt;"0",I359,"")</f>
        <v>0</v>
      </c>
      <c r="S359" s="22">
        <f>IF(J359&lt;&gt;"0",J359,"")</f>
        <v>0</v>
      </c>
      <c r="T359" s="23"/>
      <c r="U359" s="23"/>
      <c r="V359" s="23"/>
      <c r="W359" s="23"/>
      <c r="X359" s="23"/>
    </row>
    <row r="360" spans="1:24" x14ac:dyDescent="0.2">
      <c r="A360" s="18"/>
      <c r="B360" s="19" t="str">
        <f>IF(A360="","",VLOOKUP(Planilla!A360,#REF!,2,FALSE))</f>
        <v/>
      </c>
      <c r="C360" s="19" t="str">
        <f>IF(B360="","",VLOOKUP(Planilla!A360,#REF!,3,FALSE))</f>
        <v/>
      </c>
      <c r="D360" s="20"/>
      <c r="E360" s="21"/>
      <c r="F360" s="21"/>
      <c r="G360" s="21"/>
      <c r="H360" s="21"/>
      <c r="I360" s="36"/>
      <c r="J360" s="36"/>
      <c r="K360" s="21"/>
      <c r="L360" s="21"/>
      <c r="M360" s="24">
        <f>IF(K360="",0,VLOOKUP(K360,#REF!,2,FALSE))</f>
        <v>0</v>
      </c>
      <c r="N360" s="24">
        <f>IF(L360="",0,VLOOKUP(L360,#REF!,2,FALSE))</f>
        <v>0</v>
      </c>
      <c r="O360" s="24">
        <f t="shared" si="10"/>
        <v>0</v>
      </c>
      <c r="P360" s="24">
        <f>IF(F360="Barrido","",O360)</f>
        <v>0</v>
      </c>
      <c r="Q360" s="24" t="str">
        <f>IF(F360="Barrido",O360,"")</f>
        <v/>
      </c>
      <c r="R360" s="24">
        <f>IF(I360&lt;&gt;"0",I360,"")</f>
        <v>0</v>
      </c>
      <c r="S360" s="22">
        <f>IF(J360&lt;&gt;"0",J360,"")</f>
        <v>0</v>
      </c>
      <c r="T360" s="23"/>
      <c r="U360" s="23"/>
      <c r="V360" s="23"/>
      <c r="W360" s="23"/>
      <c r="X360" s="23"/>
    </row>
    <row r="361" spans="1:24" x14ac:dyDescent="0.2">
      <c r="A361" s="18"/>
      <c r="B361" s="19" t="str">
        <f>IF(A361="","",VLOOKUP(Planilla!A361,#REF!,2,FALSE))</f>
        <v/>
      </c>
      <c r="C361" s="19" t="str">
        <f>IF(B361="","",VLOOKUP(Planilla!A361,#REF!,3,FALSE))</f>
        <v/>
      </c>
      <c r="D361" s="20"/>
      <c r="E361" s="21"/>
      <c r="F361" s="21"/>
      <c r="G361" s="21"/>
      <c r="H361" s="21"/>
      <c r="I361" s="36"/>
      <c r="J361" s="36"/>
      <c r="K361" s="21"/>
      <c r="L361" s="21"/>
      <c r="M361" s="24">
        <f>IF(K361="",0,VLOOKUP(K361,#REF!,2,FALSE))</f>
        <v>0</v>
      </c>
      <c r="N361" s="24">
        <f>IF(L361="",0,VLOOKUP(L361,#REF!,2,FALSE))</f>
        <v>0</v>
      </c>
      <c r="O361" s="24">
        <f t="shared" si="10"/>
        <v>0</v>
      </c>
      <c r="P361" s="24">
        <f>IF(F361="Barrido","",O361)</f>
        <v>0</v>
      </c>
      <c r="Q361" s="24" t="str">
        <f>IF(F361="Barrido",O361,"")</f>
        <v/>
      </c>
      <c r="R361" s="24">
        <f>IF(I361&lt;&gt;"0",I361,"")</f>
        <v>0</v>
      </c>
      <c r="S361" s="22">
        <f>IF(J361&lt;&gt;"0",J361,"")</f>
        <v>0</v>
      </c>
      <c r="T361" s="23"/>
      <c r="U361" s="23"/>
      <c r="V361" s="23"/>
      <c r="W361" s="23"/>
      <c r="X361" s="23"/>
    </row>
    <row r="362" spans="1:24" x14ac:dyDescent="0.2">
      <c r="A362" s="18"/>
      <c r="B362" s="19" t="str">
        <f>IF(A362="","",VLOOKUP(Planilla!A362,#REF!,2,FALSE))</f>
        <v/>
      </c>
      <c r="C362" s="19" t="str">
        <f>IF(B362="","",VLOOKUP(Planilla!A362,#REF!,3,FALSE))</f>
        <v/>
      </c>
      <c r="D362" s="20"/>
      <c r="E362" s="21"/>
      <c r="F362" s="21"/>
      <c r="G362" s="21"/>
      <c r="H362" s="21"/>
      <c r="I362" s="36"/>
      <c r="J362" s="36"/>
      <c r="K362" s="21"/>
      <c r="L362" s="21"/>
      <c r="M362" s="24">
        <f>IF(K362="",0,VLOOKUP(K362,#REF!,2,FALSE))</f>
        <v>0</v>
      </c>
      <c r="N362" s="24">
        <f>IF(L362="",0,VLOOKUP(L362,#REF!,2,FALSE))</f>
        <v>0</v>
      </c>
      <c r="O362" s="24">
        <f t="shared" si="10"/>
        <v>0</v>
      </c>
      <c r="P362" s="24">
        <f>IF(F362="Barrido","",O362)</f>
        <v>0</v>
      </c>
      <c r="Q362" s="24" t="str">
        <f>IF(F362="Barrido",O362,"")</f>
        <v/>
      </c>
      <c r="R362" s="24">
        <f>IF(I362&lt;&gt;"0",I362,"")</f>
        <v>0</v>
      </c>
      <c r="S362" s="22">
        <f>IF(J362&lt;&gt;"0",J362,"")</f>
        <v>0</v>
      </c>
      <c r="T362" s="23"/>
      <c r="U362" s="23"/>
      <c r="V362" s="23"/>
      <c r="W362" s="23"/>
      <c r="X362" s="23"/>
    </row>
    <row r="363" spans="1:24" x14ac:dyDescent="0.2">
      <c r="A363" s="18"/>
      <c r="B363" s="19" t="str">
        <f>IF(A363="","",VLOOKUP(Planilla!A363,#REF!,2,FALSE))</f>
        <v/>
      </c>
      <c r="C363" s="19" t="str">
        <f>IF(B363="","",VLOOKUP(Planilla!A363,#REF!,3,FALSE))</f>
        <v/>
      </c>
      <c r="D363" s="20"/>
      <c r="E363" s="21"/>
      <c r="F363" s="21"/>
      <c r="G363" s="21"/>
      <c r="H363" s="21"/>
      <c r="I363" s="36"/>
      <c r="J363" s="36"/>
      <c r="K363" s="21"/>
      <c r="L363" s="21"/>
      <c r="M363" s="24">
        <f>IF(K363="",0,VLOOKUP(K363,#REF!,2,FALSE))</f>
        <v>0</v>
      </c>
      <c r="N363" s="24">
        <f>IF(L363="",0,VLOOKUP(L363,#REF!,2,FALSE))</f>
        <v>0</v>
      </c>
      <c r="O363" s="24">
        <f t="shared" si="10"/>
        <v>0</v>
      </c>
      <c r="P363" s="24">
        <f>IF(F363="Barrido","",O363)</f>
        <v>0</v>
      </c>
      <c r="Q363" s="24" t="str">
        <f>IF(F363="Barrido",O363,"")</f>
        <v/>
      </c>
      <c r="R363" s="24">
        <f>IF(I363&lt;&gt;"0",I363,"")</f>
        <v>0</v>
      </c>
      <c r="S363" s="22">
        <f>IF(J363&lt;&gt;"0",J363,"")</f>
        <v>0</v>
      </c>
      <c r="T363" s="23"/>
      <c r="U363" s="23"/>
      <c r="V363" s="23"/>
      <c r="W363" s="23"/>
      <c r="X363" s="23"/>
    </row>
    <row r="364" spans="1:24" x14ac:dyDescent="0.2">
      <c r="A364" s="18"/>
      <c r="B364" s="19" t="str">
        <f>IF(A364="","",VLOOKUP(Planilla!A364,#REF!,2,FALSE))</f>
        <v/>
      </c>
      <c r="C364" s="19" t="str">
        <f>IF(B364="","",VLOOKUP(Planilla!A364,#REF!,3,FALSE))</f>
        <v/>
      </c>
      <c r="D364" s="20"/>
      <c r="E364" s="21"/>
      <c r="F364" s="21"/>
      <c r="G364" s="21"/>
      <c r="H364" s="21"/>
      <c r="I364" s="36"/>
      <c r="J364" s="36"/>
      <c r="K364" s="21"/>
      <c r="L364" s="21"/>
      <c r="M364" s="24">
        <f>IF(K364="",0,VLOOKUP(K364,#REF!,2,FALSE))</f>
        <v>0</v>
      </c>
      <c r="N364" s="24">
        <f>IF(L364="",0,VLOOKUP(L364,#REF!,2,FALSE))</f>
        <v>0</v>
      </c>
      <c r="O364" s="24">
        <f t="shared" si="10"/>
        <v>0</v>
      </c>
      <c r="P364" s="24">
        <f>IF(F364="Barrido","",O364)</f>
        <v>0</v>
      </c>
      <c r="Q364" s="24" t="str">
        <f>IF(F364="Barrido",O364,"")</f>
        <v/>
      </c>
      <c r="R364" s="24">
        <f>IF(I364&lt;&gt;"0",I364,"")</f>
        <v>0</v>
      </c>
      <c r="S364" s="22">
        <f>IF(J364&lt;&gt;"0",J364,"")</f>
        <v>0</v>
      </c>
      <c r="T364" s="23"/>
      <c r="U364" s="23"/>
      <c r="V364" s="23"/>
      <c r="W364" s="23"/>
      <c r="X364" s="23"/>
    </row>
    <row r="365" spans="1:24" x14ac:dyDescent="0.2">
      <c r="A365" s="18"/>
      <c r="B365" s="19" t="str">
        <f>IF(A365="","",VLOOKUP(Planilla!A365,#REF!,2,FALSE))</f>
        <v/>
      </c>
      <c r="C365" s="19" t="str">
        <f>IF(B365="","",VLOOKUP(Planilla!A365,#REF!,3,FALSE))</f>
        <v/>
      </c>
      <c r="D365" s="20"/>
      <c r="E365" s="21"/>
      <c r="F365" s="21"/>
      <c r="G365" s="21"/>
      <c r="H365" s="21"/>
      <c r="I365" s="36"/>
      <c r="J365" s="36"/>
      <c r="K365" s="21"/>
      <c r="L365" s="21"/>
      <c r="M365" s="24">
        <f>IF(K365="",0,VLOOKUP(K365,#REF!,2,FALSE))</f>
        <v>0</v>
      </c>
      <c r="N365" s="24">
        <f>IF(L365="",0,VLOOKUP(L365,#REF!,2,FALSE))</f>
        <v>0</v>
      </c>
      <c r="O365" s="24">
        <f t="shared" si="10"/>
        <v>0</v>
      </c>
      <c r="P365" s="24">
        <f>IF(F365="Barrido","",O365)</f>
        <v>0</v>
      </c>
      <c r="Q365" s="24" t="str">
        <f>IF(F365="Barrido",O365,"")</f>
        <v/>
      </c>
      <c r="R365" s="24">
        <f>IF(I365&lt;&gt;"0",I365,"")</f>
        <v>0</v>
      </c>
      <c r="S365" s="22">
        <f>IF(J365&lt;&gt;"0",J365,"")</f>
        <v>0</v>
      </c>
      <c r="T365" s="23"/>
      <c r="U365" s="23"/>
      <c r="V365" s="23"/>
      <c r="W365" s="23"/>
      <c r="X365" s="23"/>
    </row>
    <row r="366" spans="1:24" x14ac:dyDescent="0.2">
      <c r="A366" s="18"/>
      <c r="B366" s="19" t="str">
        <f>IF(A366="","",VLOOKUP(Planilla!A366,#REF!,2,FALSE))</f>
        <v/>
      </c>
      <c r="C366" s="19" t="str">
        <f>IF(B366="","",VLOOKUP(Planilla!A366,#REF!,3,FALSE))</f>
        <v/>
      </c>
      <c r="D366" s="20"/>
      <c r="E366" s="21"/>
      <c r="F366" s="21"/>
      <c r="G366" s="21"/>
      <c r="H366" s="21"/>
      <c r="I366" s="36"/>
      <c r="J366" s="36"/>
      <c r="K366" s="21"/>
      <c r="L366" s="21"/>
      <c r="M366" s="24">
        <f>IF(K366="",0,VLOOKUP(K366,#REF!,2,FALSE))</f>
        <v>0</v>
      </c>
      <c r="N366" s="24">
        <f>IF(L366="",0,VLOOKUP(L366,#REF!,2,FALSE))</f>
        <v>0</v>
      </c>
      <c r="O366" s="24">
        <f t="shared" si="10"/>
        <v>0</v>
      </c>
      <c r="P366" s="24">
        <f>IF(F366="Barrido","",O366)</f>
        <v>0</v>
      </c>
      <c r="Q366" s="24" t="str">
        <f>IF(F366="Barrido",O366,"")</f>
        <v/>
      </c>
      <c r="R366" s="24">
        <f>IF(I366&lt;&gt;"0",I366,"")</f>
        <v>0</v>
      </c>
      <c r="S366" s="22">
        <f>IF(J366&lt;&gt;"0",J366,"")</f>
        <v>0</v>
      </c>
      <c r="T366" s="23"/>
      <c r="U366" s="23"/>
      <c r="V366" s="23"/>
      <c r="W366" s="23"/>
      <c r="X366" s="23"/>
    </row>
    <row r="367" spans="1:24" x14ac:dyDescent="0.2">
      <c r="A367" s="18"/>
      <c r="B367" s="19" t="str">
        <f>IF(A367="","",VLOOKUP(Planilla!A367,#REF!,2,FALSE))</f>
        <v/>
      </c>
      <c r="C367" s="19" t="str">
        <f>IF(B367="","",VLOOKUP(Planilla!A367,#REF!,3,FALSE))</f>
        <v/>
      </c>
      <c r="D367" s="20"/>
      <c r="E367" s="21"/>
      <c r="F367" s="21"/>
      <c r="G367" s="21"/>
      <c r="H367" s="21"/>
      <c r="I367" s="36"/>
      <c r="J367" s="36"/>
      <c r="K367" s="21"/>
      <c r="L367" s="21"/>
      <c r="M367" s="24">
        <f>IF(K367="",0,VLOOKUP(K367,#REF!,2,FALSE))</f>
        <v>0</v>
      </c>
      <c r="N367" s="24">
        <f>IF(L367="",0,VLOOKUP(L367,#REF!,2,FALSE))</f>
        <v>0</v>
      </c>
      <c r="O367" s="24">
        <f t="shared" si="10"/>
        <v>0</v>
      </c>
      <c r="P367" s="24">
        <f>IF(F367="Barrido","",O367)</f>
        <v>0</v>
      </c>
      <c r="Q367" s="24" t="str">
        <f>IF(F367="Barrido",O367,"")</f>
        <v/>
      </c>
      <c r="R367" s="24">
        <f>IF(I367&lt;&gt;"0",I367,"")</f>
        <v>0</v>
      </c>
      <c r="S367" s="22">
        <f>IF(J367&lt;&gt;"0",J367,"")</f>
        <v>0</v>
      </c>
      <c r="T367" s="23"/>
      <c r="U367" s="23"/>
      <c r="V367" s="23"/>
      <c r="W367" s="23"/>
      <c r="X367" s="23"/>
    </row>
    <row r="368" spans="1:24" x14ac:dyDescent="0.2">
      <c r="A368" s="18"/>
      <c r="B368" s="19" t="str">
        <f>IF(A368="","",VLOOKUP(Planilla!A368,#REF!,2,FALSE))</f>
        <v/>
      </c>
      <c r="C368" s="19" t="str">
        <f>IF(B368="","",VLOOKUP(Planilla!A368,#REF!,3,FALSE))</f>
        <v/>
      </c>
      <c r="D368" s="20"/>
      <c r="E368" s="21"/>
      <c r="F368" s="21"/>
      <c r="G368" s="21"/>
      <c r="H368" s="21"/>
      <c r="I368" s="36"/>
      <c r="J368" s="36"/>
      <c r="K368" s="21"/>
      <c r="L368" s="21"/>
      <c r="M368" s="24">
        <f>IF(K368="",0,VLOOKUP(K368,#REF!,2,FALSE))</f>
        <v>0</v>
      </c>
      <c r="N368" s="24">
        <f>IF(L368="",0,VLOOKUP(L368,#REF!,2,FALSE))</f>
        <v>0</v>
      </c>
      <c r="O368" s="24">
        <f t="shared" si="10"/>
        <v>0</v>
      </c>
      <c r="P368" s="24">
        <f>IF(F368="Barrido","",O368)</f>
        <v>0</v>
      </c>
      <c r="Q368" s="24" t="str">
        <f>IF(F368="Barrido",O368,"")</f>
        <v/>
      </c>
      <c r="R368" s="24">
        <f>IF(I368&lt;&gt;"0",I368,"")</f>
        <v>0</v>
      </c>
      <c r="S368" s="22">
        <f>IF(J368&lt;&gt;"0",J368,"")</f>
        <v>0</v>
      </c>
      <c r="T368" s="23"/>
      <c r="U368" s="23"/>
      <c r="V368" s="23"/>
      <c r="W368" s="23"/>
      <c r="X368" s="23"/>
    </row>
    <row r="369" spans="1:24" x14ac:dyDescent="0.2">
      <c r="A369" s="18"/>
      <c r="B369" s="19" t="str">
        <f>IF(A369="","",VLOOKUP(Planilla!A369,#REF!,2,FALSE))</f>
        <v/>
      </c>
      <c r="C369" s="19" t="str">
        <f>IF(B369="","",VLOOKUP(Planilla!A369,#REF!,3,FALSE))</f>
        <v/>
      </c>
      <c r="D369" s="20"/>
      <c r="E369" s="21"/>
      <c r="F369" s="21"/>
      <c r="G369" s="21"/>
      <c r="H369" s="21"/>
      <c r="I369" s="36"/>
      <c r="J369" s="36"/>
      <c r="K369" s="21"/>
      <c r="L369" s="21"/>
      <c r="M369" s="24">
        <f>IF(K369="",0,VLOOKUP(K369,#REF!,2,FALSE))</f>
        <v>0</v>
      </c>
      <c r="N369" s="24">
        <f>IF(L369="",0,VLOOKUP(L369,#REF!,2,FALSE))</f>
        <v>0</v>
      </c>
      <c r="O369" s="24">
        <f t="shared" si="10"/>
        <v>0</v>
      </c>
      <c r="P369" s="24">
        <f>IF(F369="Barrido","",O369)</f>
        <v>0</v>
      </c>
      <c r="Q369" s="24" t="str">
        <f>IF(F369="Barrido",O369,"")</f>
        <v/>
      </c>
      <c r="R369" s="24">
        <f>IF(I369&lt;&gt;"0",I369,"")</f>
        <v>0</v>
      </c>
      <c r="S369" s="22">
        <f>IF(J369&lt;&gt;"0",J369,"")</f>
        <v>0</v>
      </c>
      <c r="T369" s="23"/>
      <c r="U369" s="23"/>
      <c r="V369" s="23"/>
      <c r="W369" s="23"/>
      <c r="X369" s="23"/>
    </row>
    <row r="370" spans="1:24" x14ac:dyDescent="0.2">
      <c r="A370" s="18"/>
      <c r="B370" s="19" t="str">
        <f>IF(A370="","",VLOOKUP(Planilla!A370,#REF!,2,FALSE))</f>
        <v/>
      </c>
      <c r="C370" s="19" t="str">
        <f>IF(B370="","",VLOOKUP(Planilla!A370,#REF!,3,FALSE))</f>
        <v/>
      </c>
      <c r="D370" s="20"/>
      <c r="E370" s="21"/>
      <c r="F370" s="21"/>
      <c r="G370" s="21"/>
      <c r="H370" s="21"/>
      <c r="I370" s="36"/>
      <c r="J370" s="36"/>
      <c r="K370" s="21"/>
      <c r="L370" s="21"/>
      <c r="M370" s="24">
        <f>IF(K370="",0,VLOOKUP(K370,#REF!,2,FALSE))</f>
        <v>0</v>
      </c>
      <c r="N370" s="24">
        <f>IF(L370="",0,VLOOKUP(L370,#REF!,2,FALSE))</f>
        <v>0</v>
      </c>
      <c r="O370" s="24">
        <f t="shared" si="10"/>
        <v>0</v>
      </c>
      <c r="P370" s="24">
        <f>IF(F370="Barrido","",O370)</f>
        <v>0</v>
      </c>
      <c r="Q370" s="24" t="str">
        <f>IF(F370="Barrido",O370,"")</f>
        <v/>
      </c>
      <c r="R370" s="24">
        <f>IF(I370&lt;&gt;"0",I370,"")</f>
        <v>0</v>
      </c>
      <c r="S370" s="22">
        <f>IF(J370&lt;&gt;"0",J370,"")</f>
        <v>0</v>
      </c>
      <c r="T370" s="23"/>
      <c r="U370" s="23"/>
      <c r="V370" s="23"/>
      <c r="W370" s="23"/>
      <c r="X370" s="23"/>
    </row>
    <row r="371" spans="1:24" x14ac:dyDescent="0.2">
      <c r="A371" s="18"/>
      <c r="B371" s="19" t="str">
        <f>IF(A371="","",VLOOKUP(Planilla!A371,#REF!,2,FALSE))</f>
        <v/>
      </c>
      <c r="C371" s="19" t="str">
        <f>IF(B371="","",VLOOKUP(Planilla!A371,#REF!,3,FALSE))</f>
        <v/>
      </c>
      <c r="D371" s="20"/>
      <c r="E371" s="21"/>
      <c r="F371" s="21"/>
      <c r="G371" s="21"/>
      <c r="H371" s="21"/>
      <c r="I371" s="36"/>
      <c r="J371" s="36"/>
      <c r="K371" s="21"/>
      <c r="L371" s="21"/>
      <c r="M371" s="24">
        <f>IF(K371="",0,VLOOKUP(K371,#REF!,2,FALSE))</f>
        <v>0</v>
      </c>
      <c r="N371" s="24">
        <f>IF(L371="",0,VLOOKUP(L371,#REF!,2,FALSE))</f>
        <v>0</v>
      </c>
      <c r="O371" s="24">
        <f t="shared" si="10"/>
        <v>0</v>
      </c>
      <c r="P371" s="24">
        <f>IF(F371="Barrido","",O371)</f>
        <v>0</v>
      </c>
      <c r="Q371" s="24" t="str">
        <f>IF(F371="Barrido",O371,"")</f>
        <v/>
      </c>
      <c r="R371" s="24">
        <f>IF(I371&lt;&gt;"0",I371,"")</f>
        <v>0</v>
      </c>
      <c r="S371" s="22">
        <f>IF(J371&lt;&gt;"0",J371,"")</f>
        <v>0</v>
      </c>
      <c r="T371" s="23"/>
      <c r="U371" s="23"/>
      <c r="V371" s="23"/>
      <c r="W371" s="23"/>
      <c r="X371" s="23"/>
    </row>
    <row r="372" spans="1:24" x14ac:dyDescent="0.2">
      <c r="A372" s="18"/>
      <c r="B372" s="19" t="str">
        <f>IF(A372="","",VLOOKUP(Planilla!A372,#REF!,2,FALSE))</f>
        <v/>
      </c>
      <c r="C372" s="19" t="str">
        <f>IF(B372="","",VLOOKUP(Planilla!A372,#REF!,3,FALSE))</f>
        <v/>
      </c>
      <c r="D372" s="20"/>
      <c r="E372" s="21"/>
      <c r="F372" s="21"/>
      <c r="G372" s="21"/>
      <c r="H372" s="21"/>
      <c r="I372" s="36"/>
      <c r="J372" s="36"/>
      <c r="K372" s="21"/>
      <c r="L372" s="21"/>
      <c r="M372" s="24">
        <f>IF(K372="",0,VLOOKUP(K372,#REF!,2,FALSE))</f>
        <v>0</v>
      </c>
      <c r="N372" s="24">
        <f>IF(L372="",0,VLOOKUP(L372,#REF!,2,FALSE))</f>
        <v>0</v>
      </c>
      <c r="O372" s="24">
        <f t="shared" si="10"/>
        <v>0</v>
      </c>
      <c r="P372" s="24">
        <f>IF(F372="Barrido","",O372)</f>
        <v>0</v>
      </c>
      <c r="Q372" s="24" t="str">
        <f>IF(F372="Barrido",O372,"")</f>
        <v/>
      </c>
      <c r="R372" s="24">
        <f>IF(I372&lt;&gt;"0",I372,"")</f>
        <v>0</v>
      </c>
      <c r="S372" s="22">
        <f>IF(J372&lt;&gt;"0",J372,"")</f>
        <v>0</v>
      </c>
      <c r="T372" s="23"/>
      <c r="U372" s="23"/>
      <c r="V372" s="23"/>
      <c r="W372" s="23"/>
      <c r="X372" s="23"/>
    </row>
    <row r="373" spans="1:24" x14ac:dyDescent="0.2">
      <c r="A373" s="18"/>
      <c r="B373" s="19" t="str">
        <f>IF(A373="","",VLOOKUP(Planilla!A373,#REF!,2,FALSE))</f>
        <v/>
      </c>
      <c r="C373" s="19" t="str">
        <f>IF(B373="","",VLOOKUP(Planilla!A373,#REF!,3,FALSE))</f>
        <v/>
      </c>
      <c r="D373" s="20"/>
      <c r="E373" s="21"/>
      <c r="F373" s="21"/>
      <c r="G373" s="21"/>
      <c r="H373" s="21"/>
      <c r="I373" s="36"/>
      <c r="J373" s="36"/>
      <c r="K373" s="21"/>
      <c r="L373" s="21"/>
      <c r="M373" s="24">
        <f>IF(K373="",0,VLOOKUP(K373,#REF!,2,FALSE))</f>
        <v>0</v>
      </c>
      <c r="N373" s="24">
        <f>IF(L373="",0,VLOOKUP(L373,#REF!,2,FALSE))</f>
        <v>0</v>
      </c>
      <c r="O373" s="24">
        <f t="shared" si="10"/>
        <v>0</v>
      </c>
      <c r="P373" s="24">
        <f>IF(F373="Barrido","",O373)</f>
        <v>0</v>
      </c>
      <c r="Q373" s="24" t="str">
        <f>IF(F373="Barrido",O373,"")</f>
        <v/>
      </c>
      <c r="R373" s="24">
        <f>IF(I373&lt;&gt;"0",I373,"")</f>
        <v>0</v>
      </c>
      <c r="S373" s="22">
        <f>IF(J373&lt;&gt;"0",J373,"")</f>
        <v>0</v>
      </c>
      <c r="T373" s="23"/>
      <c r="U373" s="23"/>
      <c r="V373" s="23"/>
      <c r="W373" s="23"/>
      <c r="X373" s="23"/>
    </row>
    <row r="374" spans="1:24" x14ac:dyDescent="0.2">
      <c r="A374" s="18"/>
      <c r="B374" s="19" t="str">
        <f>IF(A374="","",VLOOKUP(Planilla!A374,#REF!,2,FALSE))</f>
        <v/>
      </c>
      <c r="C374" s="19" t="str">
        <f>IF(B374="","",VLOOKUP(Planilla!A374,#REF!,3,FALSE))</f>
        <v/>
      </c>
      <c r="D374" s="20"/>
      <c r="E374" s="21"/>
      <c r="F374" s="21"/>
      <c r="G374" s="21"/>
      <c r="H374" s="21"/>
      <c r="I374" s="36"/>
      <c r="J374" s="36"/>
      <c r="K374" s="21"/>
      <c r="L374" s="21"/>
      <c r="M374" s="24">
        <f>IF(K374="",0,VLOOKUP(K374,#REF!,2,FALSE))</f>
        <v>0</v>
      </c>
      <c r="N374" s="24">
        <f>IF(L374="",0,VLOOKUP(L374,#REF!,2,FALSE))</f>
        <v>0</v>
      </c>
      <c r="O374" s="24">
        <f t="shared" si="10"/>
        <v>0</v>
      </c>
      <c r="P374" s="24">
        <f>IF(F374="Barrido","",O374)</f>
        <v>0</v>
      </c>
      <c r="Q374" s="24" t="str">
        <f>IF(F374="Barrido",O374,"")</f>
        <v/>
      </c>
      <c r="R374" s="24">
        <f>IF(I374&lt;&gt;"0",I374,"")</f>
        <v>0</v>
      </c>
      <c r="S374" s="22">
        <f>IF(J374&lt;&gt;"0",J374,"")</f>
        <v>0</v>
      </c>
      <c r="T374" s="23"/>
      <c r="U374" s="23"/>
      <c r="V374" s="23"/>
      <c r="W374" s="23"/>
      <c r="X374" s="23"/>
    </row>
    <row r="375" spans="1:24" x14ac:dyDescent="0.2">
      <c r="A375" s="18"/>
      <c r="B375" s="19" t="str">
        <f>IF(A375="","",VLOOKUP(Planilla!A375,#REF!,2,FALSE))</f>
        <v/>
      </c>
      <c r="C375" s="19" t="str">
        <f>IF(B375="","",VLOOKUP(Planilla!A375,#REF!,3,FALSE))</f>
        <v/>
      </c>
      <c r="D375" s="20"/>
      <c r="E375" s="21"/>
      <c r="F375" s="21"/>
      <c r="G375" s="21"/>
      <c r="H375" s="21"/>
      <c r="I375" s="36"/>
      <c r="J375" s="36"/>
      <c r="K375" s="21"/>
      <c r="L375" s="21"/>
      <c r="M375" s="24">
        <f>IF(K375="",0,VLOOKUP(K375,#REF!,2,FALSE))</f>
        <v>0</v>
      </c>
      <c r="N375" s="24">
        <f>IF(L375="",0,VLOOKUP(L375,#REF!,2,FALSE))</f>
        <v>0</v>
      </c>
      <c r="O375" s="24">
        <f t="shared" si="10"/>
        <v>0</v>
      </c>
      <c r="P375" s="24">
        <f>IF(F375="Barrido","",O375)</f>
        <v>0</v>
      </c>
      <c r="Q375" s="24" t="str">
        <f>IF(F375="Barrido",O375,"")</f>
        <v/>
      </c>
      <c r="R375" s="24">
        <f>IF(I375&lt;&gt;"0",I375,"")</f>
        <v>0</v>
      </c>
      <c r="S375" s="22">
        <f>IF(J375&lt;&gt;"0",J375,"")</f>
        <v>0</v>
      </c>
      <c r="T375" s="23"/>
      <c r="U375" s="23"/>
      <c r="V375" s="23"/>
      <c r="W375" s="23"/>
      <c r="X375" s="23"/>
    </row>
    <row r="376" spans="1:24" x14ac:dyDescent="0.2">
      <c r="A376" s="18"/>
      <c r="B376" s="19" t="str">
        <f>IF(A376="","",VLOOKUP(Planilla!A376,#REF!,2,FALSE))</f>
        <v/>
      </c>
      <c r="C376" s="19" t="str">
        <f>IF(B376="","",VLOOKUP(Planilla!A376,#REF!,3,FALSE))</f>
        <v/>
      </c>
      <c r="D376" s="20"/>
      <c r="E376" s="21"/>
      <c r="F376" s="21"/>
      <c r="G376" s="21"/>
      <c r="H376" s="21"/>
      <c r="I376" s="36"/>
      <c r="J376" s="36"/>
      <c r="K376" s="21"/>
      <c r="L376" s="21"/>
      <c r="M376" s="24">
        <f>IF(K376="",0,VLOOKUP(K376,#REF!,2,FALSE))</f>
        <v>0</v>
      </c>
      <c r="N376" s="24">
        <f>IF(L376="",0,VLOOKUP(L376,#REF!,2,FALSE))</f>
        <v>0</v>
      </c>
      <c r="O376" s="24">
        <f t="shared" si="10"/>
        <v>0</v>
      </c>
      <c r="P376" s="24">
        <f>IF(F376="Barrido","",O376)</f>
        <v>0</v>
      </c>
      <c r="Q376" s="24" t="str">
        <f>IF(F376="Barrido",O376,"")</f>
        <v/>
      </c>
      <c r="R376" s="24">
        <f>IF(I376&lt;&gt;"0",I376,"")</f>
        <v>0</v>
      </c>
      <c r="S376" s="22">
        <f>IF(J376&lt;&gt;"0",J376,"")</f>
        <v>0</v>
      </c>
      <c r="T376" s="23"/>
      <c r="U376" s="23"/>
      <c r="V376" s="23"/>
      <c r="W376" s="23"/>
      <c r="X376" s="23"/>
    </row>
    <row r="377" spans="1:24" x14ac:dyDescent="0.2">
      <c r="A377" s="18"/>
      <c r="B377" s="19" t="str">
        <f>IF(A377="","",VLOOKUP(Planilla!A377,#REF!,2,FALSE))</f>
        <v/>
      </c>
      <c r="C377" s="19" t="str">
        <f>IF(B377="","",VLOOKUP(Planilla!A377,#REF!,3,FALSE))</f>
        <v/>
      </c>
      <c r="D377" s="20"/>
      <c r="E377" s="21"/>
      <c r="F377" s="21"/>
      <c r="G377" s="21"/>
      <c r="H377" s="21"/>
      <c r="I377" s="36"/>
      <c r="J377" s="36"/>
      <c r="K377" s="21"/>
      <c r="L377" s="21"/>
      <c r="M377" s="24">
        <f>IF(K377="",0,VLOOKUP(K377,#REF!,2,FALSE))</f>
        <v>0</v>
      </c>
      <c r="N377" s="24">
        <f>IF(L377="",0,VLOOKUP(L377,#REF!,2,FALSE))</f>
        <v>0</v>
      </c>
      <c r="O377" s="24">
        <f t="shared" si="10"/>
        <v>0</v>
      </c>
      <c r="P377" s="24">
        <f>IF(F377="Barrido","",O377)</f>
        <v>0</v>
      </c>
      <c r="Q377" s="24" t="str">
        <f>IF(F377="Barrido",O377,"")</f>
        <v/>
      </c>
      <c r="R377" s="24">
        <f>IF(I377&lt;&gt;"0",I377,"")</f>
        <v>0</v>
      </c>
      <c r="S377" s="22">
        <f>IF(J377&lt;&gt;"0",J377,"")</f>
        <v>0</v>
      </c>
      <c r="T377" s="23"/>
      <c r="U377" s="23"/>
      <c r="V377" s="23"/>
      <c r="W377" s="23"/>
      <c r="X377" s="23"/>
    </row>
    <row r="378" spans="1:24" x14ac:dyDescent="0.2">
      <c r="A378" s="18"/>
      <c r="B378" s="19" t="str">
        <f>IF(A378="","",VLOOKUP(Planilla!A378,#REF!,2,FALSE))</f>
        <v/>
      </c>
      <c r="C378" s="19" t="str">
        <f>IF(B378="","",VLOOKUP(Planilla!A378,#REF!,3,FALSE))</f>
        <v/>
      </c>
      <c r="D378" s="20"/>
      <c r="E378" s="21"/>
      <c r="F378" s="21"/>
      <c r="G378" s="21"/>
      <c r="H378" s="21"/>
      <c r="I378" s="36"/>
      <c r="J378" s="36"/>
      <c r="K378" s="21"/>
      <c r="L378" s="21"/>
      <c r="M378" s="24">
        <f>IF(K378="",0,VLOOKUP(K378,#REF!,2,FALSE))</f>
        <v>0</v>
      </c>
      <c r="N378" s="24">
        <f>IF(L378="",0,VLOOKUP(L378,#REF!,2,FALSE))</f>
        <v>0</v>
      </c>
      <c r="O378" s="24">
        <f t="shared" si="10"/>
        <v>0</v>
      </c>
      <c r="P378" s="24">
        <f>IF(F378="Barrido","",O378)</f>
        <v>0</v>
      </c>
      <c r="Q378" s="24" t="str">
        <f>IF(F378="Barrido",O378,"")</f>
        <v/>
      </c>
      <c r="R378" s="24">
        <f>IF(I378&lt;&gt;"0",I378,"")</f>
        <v>0</v>
      </c>
      <c r="S378" s="22">
        <f>IF(J378&lt;&gt;"0",J378,"")</f>
        <v>0</v>
      </c>
      <c r="T378" s="23"/>
      <c r="U378" s="23"/>
      <c r="V378" s="23"/>
      <c r="W378" s="23"/>
      <c r="X378" s="23"/>
    </row>
    <row r="379" spans="1:24" x14ac:dyDescent="0.2">
      <c r="A379" s="18"/>
      <c r="B379" s="19" t="str">
        <f>IF(A379="","",VLOOKUP(Planilla!A379,#REF!,2,FALSE))</f>
        <v/>
      </c>
      <c r="C379" s="19" t="str">
        <f>IF(B379="","",VLOOKUP(Planilla!A379,#REF!,3,FALSE))</f>
        <v/>
      </c>
      <c r="D379" s="20"/>
      <c r="E379" s="21"/>
      <c r="F379" s="21"/>
      <c r="G379" s="21"/>
      <c r="H379" s="21"/>
      <c r="I379" s="36"/>
      <c r="J379" s="36"/>
      <c r="K379" s="21"/>
      <c r="L379" s="21"/>
      <c r="M379" s="24">
        <f>IF(K379="",0,VLOOKUP(K379,#REF!,2,FALSE))</f>
        <v>0</v>
      </c>
      <c r="N379" s="24">
        <f>IF(L379="",0,VLOOKUP(L379,#REF!,2,FALSE))</f>
        <v>0</v>
      </c>
      <c r="O379" s="24">
        <f t="shared" si="10"/>
        <v>0</v>
      </c>
      <c r="P379" s="24">
        <f>IF(F379="Barrido","",O379)</f>
        <v>0</v>
      </c>
      <c r="Q379" s="24" t="str">
        <f>IF(F379="Barrido",O379,"")</f>
        <v/>
      </c>
      <c r="R379" s="24">
        <f>IF(I379&lt;&gt;"0",I379,"")</f>
        <v>0</v>
      </c>
      <c r="S379" s="22">
        <f>IF(J379&lt;&gt;"0",J379,"")</f>
        <v>0</v>
      </c>
      <c r="T379" s="23"/>
      <c r="U379" s="23"/>
      <c r="V379" s="23"/>
      <c r="W379" s="23"/>
      <c r="X379" s="23"/>
    </row>
    <row r="380" spans="1:24" x14ac:dyDescent="0.2">
      <c r="A380" s="18"/>
      <c r="B380" s="19" t="str">
        <f>IF(A380="","",VLOOKUP(Planilla!A380,#REF!,2,FALSE))</f>
        <v/>
      </c>
      <c r="C380" s="19" t="str">
        <f>IF(B380="","",VLOOKUP(Planilla!A380,#REF!,3,FALSE))</f>
        <v/>
      </c>
      <c r="D380" s="20"/>
      <c r="E380" s="21"/>
      <c r="F380" s="21"/>
      <c r="G380" s="21"/>
      <c r="H380" s="21"/>
      <c r="I380" s="36"/>
      <c r="J380" s="36"/>
      <c r="K380" s="21"/>
      <c r="L380" s="21"/>
      <c r="M380" s="24">
        <f>IF(K380="",0,VLOOKUP(K380,#REF!,2,FALSE))</f>
        <v>0</v>
      </c>
      <c r="N380" s="24">
        <f>IF(L380="",0,VLOOKUP(L380,#REF!,2,FALSE))</f>
        <v>0</v>
      </c>
      <c r="O380" s="24">
        <f t="shared" si="10"/>
        <v>0</v>
      </c>
      <c r="P380" s="24">
        <f>IF(F380="Barrido","",O380)</f>
        <v>0</v>
      </c>
      <c r="Q380" s="24" t="str">
        <f>IF(F380="Barrido",O380,"")</f>
        <v/>
      </c>
      <c r="R380" s="24">
        <f>IF(I380&lt;&gt;"0",I380,"")</f>
        <v>0</v>
      </c>
      <c r="S380" s="22">
        <f>IF(J380&lt;&gt;"0",J380,"")</f>
        <v>0</v>
      </c>
      <c r="T380" s="23"/>
      <c r="U380" s="23"/>
      <c r="V380" s="23"/>
      <c r="W380" s="23"/>
      <c r="X380" s="23"/>
    </row>
    <row r="381" spans="1:24" x14ac:dyDescent="0.2">
      <c r="A381" s="18"/>
      <c r="B381" s="19" t="str">
        <f>IF(A381="","",VLOOKUP(Planilla!A381,#REF!,2,FALSE))</f>
        <v/>
      </c>
      <c r="C381" s="19" t="str">
        <f>IF(B381="","",VLOOKUP(Planilla!A381,#REF!,3,FALSE))</f>
        <v/>
      </c>
      <c r="D381" s="20"/>
      <c r="E381" s="21"/>
      <c r="F381" s="21"/>
      <c r="G381" s="21"/>
      <c r="H381" s="21"/>
      <c r="I381" s="36"/>
      <c r="J381" s="36"/>
      <c r="K381" s="21"/>
      <c r="L381" s="21"/>
      <c r="M381" s="24">
        <f>IF(K381="",0,VLOOKUP(K381,#REF!,2,FALSE))</f>
        <v>0</v>
      </c>
      <c r="N381" s="24">
        <f>IF(L381="",0,VLOOKUP(L381,#REF!,2,FALSE))</f>
        <v>0</v>
      </c>
      <c r="O381" s="24">
        <f t="shared" si="10"/>
        <v>0</v>
      </c>
      <c r="P381" s="24">
        <f>IF(F381="Barrido","",O381)</f>
        <v>0</v>
      </c>
      <c r="Q381" s="24" t="str">
        <f>IF(F381="Barrido",O381,"")</f>
        <v/>
      </c>
      <c r="R381" s="24">
        <f>IF(I381&lt;&gt;"0",I381,"")</f>
        <v>0</v>
      </c>
      <c r="S381" s="22">
        <f>IF(J381&lt;&gt;"0",J381,"")</f>
        <v>0</v>
      </c>
      <c r="T381" s="23"/>
      <c r="U381" s="23"/>
      <c r="V381" s="23"/>
      <c r="W381" s="23"/>
      <c r="X381" s="23"/>
    </row>
    <row r="382" spans="1:24" x14ac:dyDescent="0.2">
      <c r="A382" s="18"/>
      <c r="B382" s="19" t="str">
        <f>IF(A382="","",VLOOKUP(Planilla!A382,#REF!,2,FALSE))</f>
        <v/>
      </c>
      <c r="C382" s="19" t="str">
        <f>IF(B382="","",VLOOKUP(Planilla!A382,#REF!,3,FALSE))</f>
        <v/>
      </c>
      <c r="D382" s="20"/>
      <c r="E382" s="21"/>
      <c r="F382" s="21"/>
      <c r="G382" s="21"/>
      <c r="H382" s="21"/>
      <c r="I382" s="36"/>
      <c r="J382" s="36"/>
      <c r="K382" s="21"/>
      <c r="L382" s="21"/>
      <c r="M382" s="24">
        <f>IF(K382="",0,VLOOKUP(K382,#REF!,2,FALSE))</f>
        <v>0</v>
      </c>
      <c r="N382" s="24">
        <f>IF(L382="",0,VLOOKUP(L382,#REF!,2,FALSE))</f>
        <v>0</v>
      </c>
      <c r="O382" s="24">
        <f t="shared" si="10"/>
        <v>0</v>
      </c>
      <c r="P382" s="24">
        <f>IF(F382="Barrido","",O382)</f>
        <v>0</v>
      </c>
      <c r="Q382" s="24" t="str">
        <f>IF(F382="Barrido",O382,"")</f>
        <v/>
      </c>
      <c r="R382" s="24">
        <f>IF(I382&lt;&gt;"0",I382,"")</f>
        <v>0</v>
      </c>
      <c r="S382" s="22">
        <f>IF(J382&lt;&gt;"0",J382,"")</f>
        <v>0</v>
      </c>
      <c r="T382" s="23"/>
      <c r="U382" s="23"/>
      <c r="V382" s="23"/>
      <c r="W382" s="23"/>
      <c r="X382" s="23"/>
    </row>
    <row r="383" spans="1:24" x14ac:dyDescent="0.2">
      <c r="A383" s="18"/>
      <c r="B383" s="19" t="str">
        <f>IF(A383="","",VLOOKUP(Planilla!A383,#REF!,2,FALSE))</f>
        <v/>
      </c>
      <c r="C383" s="19" t="str">
        <f>IF(B383="","",VLOOKUP(Planilla!A383,#REF!,3,FALSE))</f>
        <v/>
      </c>
      <c r="D383" s="20"/>
      <c r="E383" s="21"/>
      <c r="F383" s="21"/>
      <c r="G383" s="21"/>
      <c r="H383" s="21"/>
      <c r="I383" s="36"/>
      <c r="J383" s="36"/>
      <c r="K383" s="21"/>
      <c r="L383" s="21"/>
      <c r="M383" s="24">
        <f>IF(K383="",0,VLOOKUP(K383,#REF!,2,FALSE))</f>
        <v>0</v>
      </c>
      <c r="N383" s="24">
        <f>IF(L383="",0,VLOOKUP(L383,#REF!,2,FALSE))</f>
        <v>0</v>
      </c>
      <c r="O383" s="24">
        <f t="shared" si="10"/>
        <v>0</v>
      </c>
      <c r="P383" s="24">
        <f>IF(F383="Barrido","",O383)</f>
        <v>0</v>
      </c>
      <c r="Q383" s="24" t="str">
        <f>IF(F383="Barrido",O383,"")</f>
        <v/>
      </c>
      <c r="R383" s="24">
        <f>IF(I383&lt;&gt;"0",I383,"")</f>
        <v>0</v>
      </c>
      <c r="S383" s="22">
        <f>IF(J383&lt;&gt;"0",J383,"")</f>
        <v>0</v>
      </c>
      <c r="T383" s="23"/>
      <c r="U383" s="23"/>
      <c r="V383" s="23"/>
      <c r="W383" s="23"/>
      <c r="X383" s="23"/>
    </row>
    <row r="384" spans="1:24" x14ac:dyDescent="0.2">
      <c r="A384" s="18"/>
      <c r="B384" s="19" t="str">
        <f>IF(A384="","",VLOOKUP(Planilla!A384,#REF!,2,FALSE))</f>
        <v/>
      </c>
      <c r="C384" s="19" t="str">
        <f>IF(B384="","",VLOOKUP(Planilla!A384,#REF!,3,FALSE))</f>
        <v/>
      </c>
      <c r="D384" s="20"/>
      <c r="E384" s="21"/>
      <c r="F384" s="21"/>
      <c r="G384" s="21"/>
      <c r="H384" s="21"/>
      <c r="I384" s="36"/>
      <c r="J384" s="36"/>
      <c r="K384" s="21"/>
      <c r="L384" s="21"/>
      <c r="M384" s="24">
        <f>IF(K384="",0,VLOOKUP(K384,#REF!,2,FALSE))</f>
        <v>0</v>
      </c>
      <c r="N384" s="24">
        <f>IF(L384="",0,VLOOKUP(L384,#REF!,2,FALSE))</f>
        <v>0</v>
      </c>
      <c r="O384" s="24">
        <f t="shared" si="10"/>
        <v>0</v>
      </c>
      <c r="P384" s="24">
        <f>IF(F384="Barrido","",O384)</f>
        <v>0</v>
      </c>
      <c r="Q384" s="24" t="str">
        <f>IF(F384="Barrido",O384,"")</f>
        <v/>
      </c>
      <c r="R384" s="24">
        <f>IF(I384&lt;&gt;"0",I384,"")</f>
        <v>0</v>
      </c>
      <c r="S384" s="22">
        <f>IF(J384&lt;&gt;"0",J384,"")</f>
        <v>0</v>
      </c>
      <c r="T384" s="23"/>
      <c r="U384" s="23"/>
      <c r="V384" s="23"/>
      <c r="W384" s="23"/>
      <c r="X384" s="23"/>
    </row>
    <row r="385" spans="1:24" x14ac:dyDescent="0.2">
      <c r="A385" s="18"/>
      <c r="B385" s="19" t="str">
        <f>IF(A385="","",VLOOKUP(Planilla!A385,#REF!,2,FALSE))</f>
        <v/>
      </c>
      <c r="C385" s="19" t="str">
        <f>IF(B385="","",VLOOKUP(Planilla!A385,#REF!,3,FALSE))</f>
        <v/>
      </c>
      <c r="D385" s="20"/>
      <c r="E385" s="21"/>
      <c r="F385" s="21"/>
      <c r="G385" s="21"/>
      <c r="H385" s="21"/>
      <c r="I385" s="36"/>
      <c r="J385" s="36"/>
      <c r="K385" s="21"/>
      <c r="L385" s="21"/>
      <c r="M385" s="24">
        <f>IF(K385="",0,VLOOKUP(K385,#REF!,2,FALSE))</f>
        <v>0</v>
      </c>
      <c r="N385" s="24">
        <f>IF(L385="",0,VLOOKUP(L385,#REF!,2,FALSE))</f>
        <v>0</v>
      </c>
      <c r="O385" s="24">
        <f t="shared" si="10"/>
        <v>0</v>
      </c>
      <c r="P385" s="24">
        <f>IF(F385="Barrido","",O385)</f>
        <v>0</v>
      </c>
      <c r="Q385" s="24" t="str">
        <f>IF(F385="Barrido",O385,"")</f>
        <v/>
      </c>
      <c r="R385" s="24">
        <f>IF(I385&lt;&gt;"0",I385,"")</f>
        <v>0</v>
      </c>
      <c r="S385" s="22">
        <f>IF(J385&lt;&gt;"0",J385,"")</f>
        <v>0</v>
      </c>
      <c r="T385" s="23"/>
      <c r="U385" s="23"/>
      <c r="V385" s="23"/>
      <c r="W385" s="23"/>
      <c r="X385" s="23"/>
    </row>
    <row r="386" spans="1:24" x14ac:dyDescent="0.2">
      <c r="A386" s="18"/>
      <c r="B386" s="19" t="str">
        <f>IF(A386="","",VLOOKUP(Planilla!A386,#REF!,2,FALSE))</f>
        <v/>
      </c>
      <c r="C386" s="19" t="str">
        <f>IF(B386="","",VLOOKUP(Planilla!A386,#REF!,3,FALSE))</f>
        <v/>
      </c>
      <c r="D386" s="20"/>
      <c r="E386" s="21"/>
      <c r="F386" s="21"/>
      <c r="G386" s="21"/>
      <c r="H386" s="21"/>
      <c r="I386" s="36"/>
      <c r="J386" s="36"/>
      <c r="K386" s="21"/>
      <c r="L386" s="21"/>
      <c r="M386" s="24">
        <f>IF(K386="",0,VLOOKUP(K386,#REF!,2,FALSE))</f>
        <v>0</v>
      </c>
      <c r="N386" s="24">
        <f>IF(L386="",0,VLOOKUP(L386,#REF!,2,FALSE))</f>
        <v>0</v>
      </c>
      <c r="O386" s="24">
        <f t="shared" si="10"/>
        <v>0</v>
      </c>
      <c r="P386" s="24">
        <f>IF(F386="Barrido","",O386)</f>
        <v>0</v>
      </c>
      <c r="Q386" s="24" t="str">
        <f>IF(F386="Barrido",O386,"")</f>
        <v/>
      </c>
      <c r="R386" s="24">
        <f>IF(I386&lt;&gt;"0",I386,"")</f>
        <v>0</v>
      </c>
      <c r="S386" s="22">
        <f>IF(J386&lt;&gt;"0",J386,"")</f>
        <v>0</v>
      </c>
      <c r="T386" s="23"/>
      <c r="U386" s="23"/>
      <c r="V386" s="23"/>
      <c r="W386" s="23"/>
      <c r="X386" s="23"/>
    </row>
    <row r="387" spans="1:24" x14ac:dyDescent="0.2">
      <c r="A387" s="18"/>
      <c r="B387" s="19" t="str">
        <f>IF(A387="","",VLOOKUP(Planilla!A387,#REF!,2,FALSE))</f>
        <v/>
      </c>
      <c r="C387" s="19" t="str">
        <f>IF(B387="","",VLOOKUP(Planilla!A387,#REF!,3,FALSE))</f>
        <v/>
      </c>
      <c r="D387" s="20"/>
      <c r="E387" s="21"/>
      <c r="F387" s="21"/>
      <c r="G387" s="21"/>
      <c r="H387" s="21"/>
      <c r="I387" s="36"/>
      <c r="J387" s="36"/>
      <c r="K387" s="21"/>
      <c r="L387" s="21"/>
      <c r="M387" s="24">
        <f>IF(K387="",0,VLOOKUP(K387,#REF!,2,FALSE))</f>
        <v>0</v>
      </c>
      <c r="N387" s="24">
        <f>IF(L387="",0,VLOOKUP(L387,#REF!,2,FALSE))</f>
        <v>0</v>
      </c>
      <c r="O387" s="24">
        <f t="shared" si="10"/>
        <v>0</v>
      </c>
      <c r="P387" s="24">
        <f>IF(F387="Barrido","",O387)</f>
        <v>0</v>
      </c>
      <c r="Q387" s="24" t="str">
        <f>IF(F387="Barrido",O387,"")</f>
        <v/>
      </c>
      <c r="R387" s="24">
        <f>IF(I387&lt;&gt;"0",I387,"")</f>
        <v>0</v>
      </c>
      <c r="S387" s="22">
        <f>IF(J387&lt;&gt;"0",J387,"")</f>
        <v>0</v>
      </c>
      <c r="T387" s="23"/>
      <c r="U387" s="23"/>
      <c r="V387" s="23"/>
      <c r="W387" s="23"/>
      <c r="X387" s="23"/>
    </row>
    <row r="388" spans="1:24" x14ac:dyDescent="0.2">
      <c r="A388" s="18"/>
      <c r="B388" s="19" t="str">
        <f>IF(A388="","",VLOOKUP(Planilla!A388,#REF!,2,FALSE))</f>
        <v/>
      </c>
      <c r="C388" s="19" t="str">
        <f>IF(B388="","",VLOOKUP(Planilla!A388,#REF!,3,FALSE))</f>
        <v/>
      </c>
      <c r="D388" s="20"/>
      <c r="E388" s="21"/>
      <c r="F388" s="21"/>
      <c r="G388" s="21"/>
      <c r="H388" s="21"/>
      <c r="I388" s="36"/>
      <c r="J388" s="36"/>
      <c r="K388" s="21"/>
      <c r="L388" s="21"/>
      <c r="M388" s="24">
        <f>IF(K388="",0,VLOOKUP(K388,#REF!,2,FALSE))</f>
        <v>0</v>
      </c>
      <c r="N388" s="24">
        <f>IF(L388="",0,VLOOKUP(L388,#REF!,2,FALSE))</f>
        <v>0</v>
      </c>
      <c r="O388" s="24">
        <f t="shared" si="10"/>
        <v>0</v>
      </c>
      <c r="P388" s="24">
        <f>IF(F388="Barrido","",O388)</f>
        <v>0</v>
      </c>
      <c r="Q388" s="24" t="str">
        <f>IF(F388="Barrido",O388,"")</f>
        <v/>
      </c>
      <c r="R388" s="24">
        <f>IF(I388&lt;&gt;"0",I388,"")</f>
        <v>0</v>
      </c>
      <c r="S388" s="22">
        <f>IF(J388&lt;&gt;"0",J388,"")</f>
        <v>0</v>
      </c>
      <c r="T388" s="23"/>
      <c r="U388" s="23"/>
      <c r="V388" s="23"/>
      <c r="W388" s="23"/>
      <c r="X388" s="23"/>
    </row>
    <row r="389" spans="1:24" x14ac:dyDescent="0.2">
      <c r="A389" s="18"/>
      <c r="B389" s="19" t="str">
        <f>IF(A389="","",VLOOKUP(Planilla!A389,#REF!,2,FALSE))</f>
        <v/>
      </c>
      <c r="C389" s="19" t="str">
        <f>IF(B389="","",VLOOKUP(Planilla!A389,#REF!,3,FALSE))</f>
        <v/>
      </c>
      <c r="D389" s="20"/>
      <c r="E389" s="21"/>
      <c r="F389" s="21"/>
      <c r="G389" s="21"/>
      <c r="H389" s="21"/>
      <c r="I389" s="36"/>
      <c r="J389" s="36"/>
      <c r="K389" s="21"/>
      <c r="L389" s="21"/>
      <c r="M389" s="24">
        <f>IF(K389="",0,VLOOKUP(K389,#REF!,2,FALSE))</f>
        <v>0</v>
      </c>
      <c r="N389" s="24">
        <f>IF(L389="",0,VLOOKUP(L389,#REF!,2,FALSE))</f>
        <v>0</v>
      </c>
      <c r="O389" s="24">
        <f t="shared" si="10"/>
        <v>0</v>
      </c>
      <c r="P389" s="24">
        <f>IF(F389="Barrido","",O389)</f>
        <v>0</v>
      </c>
      <c r="Q389" s="24" t="str">
        <f>IF(F389="Barrido",O389,"")</f>
        <v/>
      </c>
      <c r="R389" s="24">
        <f>IF(I389&lt;&gt;"0",I389,"")</f>
        <v>0</v>
      </c>
      <c r="S389" s="22">
        <f>IF(J389&lt;&gt;"0",J389,"")</f>
        <v>0</v>
      </c>
      <c r="T389" s="23"/>
      <c r="U389" s="23"/>
      <c r="V389" s="23"/>
      <c r="W389" s="23"/>
      <c r="X389" s="23"/>
    </row>
    <row r="390" spans="1:24" x14ac:dyDescent="0.2">
      <c r="A390" s="18"/>
      <c r="B390" s="19" t="str">
        <f>IF(A390="","",VLOOKUP(Planilla!A390,#REF!,2,FALSE))</f>
        <v/>
      </c>
      <c r="C390" s="19" t="str">
        <f>IF(B390="","",VLOOKUP(Planilla!A390,#REF!,3,FALSE))</f>
        <v/>
      </c>
      <c r="D390" s="20"/>
      <c r="E390" s="21"/>
      <c r="F390" s="21"/>
      <c r="G390" s="21"/>
      <c r="H390" s="21"/>
      <c r="I390" s="36"/>
      <c r="J390" s="36"/>
      <c r="K390" s="21"/>
      <c r="L390" s="21"/>
      <c r="M390" s="24">
        <f>IF(K390="",0,VLOOKUP(K390,#REF!,2,FALSE))</f>
        <v>0</v>
      </c>
      <c r="N390" s="24">
        <f>IF(L390="",0,VLOOKUP(L390,#REF!,2,FALSE))</f>
        <v>0</v>
      </c>
      <c r="O390" s="24">
        <f t="shared" si="10"/>
        <v>0</v>
      </c>
      <c r="P390" s="24">
        <f>IF(F390="Barrido","",O390)</f>
        <v>0</v>
      </c>
      <c r="Q390" s="24" t="str">
        <f>IF(F390="Barrido",O390,"")</f>
        <v/>
      </c>
      <c r="R390" s="24">
        <f>IF(I390&lt;&gt;"0",I390,"")</f>
        <v>0</v>
      </c>
      <c r="S390" s="22">
        <f>IF(J390&lt;&gt;"0",J390,"")</f>
        <v>0</v>
      </c>
      <c r="T390" s="23"/>
      <c r="U390" s="23"/>
      <c r="V390" s="23"/>
      <c r="W390" s="23"/>
      <c r="X390" s="23"/>
    </row>
    <row r="391" spans="1:24" x14ac:dyDescent="0.2">
      <c r="A391" s="18"/>
      <c r="B391" s="19" t="str">
        <f>IF(A391="","",VLOOKUP(Planilla!A391,#REF!,2,FALSE))</f>
        <v/>
      </c>
      <c r="C391" s="19" t="str">
        <f>IF(B391="","",VLOOKUP(Planilla!A391,#REF!,3,FALSE))</f>
        <v/>
      </c>
      <c r="D391" s="20"/>
      <c r="E391" s="21"/>
      <c r="F391" s="21"/>
      <c r="G391" s="21"/>
      <c r="H391" s="21"/>
      <c r="I391" s="36"/>
      <c r="J391" s="36"/>
      <c r="K391" s="21"/>
      <c r="L391" s="21"/>
      <c r="M391" s="24">
        <f>IF(K391="",0,VLOOKUP(K391,#REF!,2,FALSE))</f>
        <v>0</v>
      </c>
      <c r="N391" s="24">
        <f>IF(L391="",0,VLOOKUP(L391,#REF!,2,FALSE))</f>
        <v>0</v>
      </c>
      <c r="O391" s="24">
        <f t="shared" si="10"/>
        <v>0</v>
      </c>
      <c r="P391" s="24">
        <f>IF(F391="Barrido","",O391)</f>
        <v>0</v>
      </c>
      <c r="Q391" s="24" t="str">
        <f>IF(F391="Barrido",O391,"")</f>
        <v/>
      </c>
      <c r="R391" s="24">
        <f>IF(I391&lt;&gt;"0",I391,"")</f>
        <v>0</v>
      </c>
      <c r="S391" s="22">
        <f>IF(J391&lt;&gt;"0",J391,"")</f>
        <v>0</v>
      </c>
      <c r="T391" s="23"/>
      <c r="U391" s="23"/>
      <c r="V391" s="23"/>
      <c r="W391" s="23"/>
      <c r="X391" s="23"/>
    </row>
    <row r="392" spans="1:24" x14ac:dyDescent="0.2">
      <c r="A392" s="18"/>
      <c r="B392" s="19" t="str">
        <f>IF(A392="","",VLOOKUP(Planilla!A392,#REF!,2,FALSE))</f>
        <v/>
      </c>
      <c r="C392" s="19" t="str">
        <f>IF(B392="","",VLOOKUP(Planilla!A392,#REF!,3,FALSE))</f>
        <v/>
      </c>
      <c r="D392" s="20"/>
      <c r="E392" s="21"/>
      <c r="F392" s="21"/>
      <c r="G392" s="21"/>
      <c r="H392" s="21"/>
      <c r="I392" s="36"/>
      <c r="J392" s="36"/>
      <c r="K392" s="21"/>
      <c r="L392" s="21"/>
      <c r="M392" s="24">
        <f>IF(K392="",0,VLOOKUP(K392,#REF!,2,FALSE))</f>
        <v>0</v>
      </c>
      <c r="N392" s="24">
        <f>IF(L392="",0,VLOOKUP(L392,#REF!,2,FALSE))</f>
        <v>0</v>
      </c>
      <c r="O392" s="24">
        <f t="shared" si="10"/>
        <v>0</v>
      </c>
      <c r="P392" s="24">
        <f>IF(F392="Barrido","",O392)</f>
        <v>0</v>
      </c>
      <c r="Q392" s="24" t="str">
        <f>IF(F392="Barrido",O392,"")</f>
        <v/>
      </c>
      <c r="R392" s="24">
        <f>IF(I392&lt;&gt;"0",I392,"")</f>
        <v>0</v>
      </c>
      <c r="S392" s="22">
        <f>IF(J392&lt;&gt;"0",J392,"")</f>
        <v>0</v>
      </c>
      <c r="T392" s="23"/>
      <c r="U392" s="23"/>
      <c r="V392" s="23"/>
      <c r="W392" s="23"/>
      <c r="X392" s="23"/>
    </row>
    <row r="393" spans="1:24" x14ac:dyDescent="0.2">
      <c r="A393" s="18"/>
      <c r="B393" s="19" t="str">
        <f>IF(A393="","",VLOOKUP(Planilla!A393,#REF!,2,FALSE))</f>
        <v/>
      </c>
      <c r="C393" s="19" t="str">
        <f>IF(B393="","",VLOOKUP(Planilla!A393,#REF!,3,FALSE))</f>
        <v/>
      </c>
      <c r="D393" s="20"/>
      <c r="E393" s="21"/>
      <c r="F393" s="21"/>
      <c r="G393" s="21"/>
      <c r="H393" s="21"/>
      <c r="I393" s="36"/>
      <c r="J393" s="36"/>
      <c r="K393" s="21"/>
      <c r="L393" s="21"/>
      <c r="M393" s="24">
        <f>IF(K393="",0,VLOOKUP(K393,#REF!,2,FALSE))</f>
        <v>0</v>
      </c>
      <c r="N393" s="24">
        <f>IF(L393="",0,VLOOKUP(L393,#REF!,2,FALSE))</f>
        <v>0</v>
      </c>
      <c r="O393" s="24">
        <f t="shared" si="10"/>
        <v>0</v>
      </c>
      <c r="P393" s="24">
        <f>IF(F393="Barrido","",O393)</f>
        <v>0</v>
      </c>
      <c r="Q393" s="24" t="str">
        <f>IF(F393="Barrido",O393,"")</f>
        <v/>
      </c>
      <c r="R393" s="24">
        <f>IF(I393&lt;&gt;"0",I393,"")</f>
        <v>0</v>
      </c>
      <c r="S393" s="22">
        <f>IF(J393&lt;&gt;"0",J393,"")</f>
        <v>0</v>
      </c>
      <c r="T393" s="23"/>
      <c r="U393" s="23"/>
      <c r="V393" s="23"/>
      <c r="W393" s="23"/>
      <c r="X393" s="23"/>
    </row>
    <row r="394" spans="1:24" x14ac:dyDescent="0.2">
      <c r="A394" s="18"/>
      <c r="B394" s="19" t="str">
        <f>IF(A394="","",VLOOKUP(Planilla!A394,#REF!,2,FALSE))</f>
        <v/>
      </c>
      <c r="C394" s="19" t="str">
        <f>IF(B394="","",VLOOKUP(Planilla!A394,#REF!,3,FALSE))</f>
        <v/>
      </c>
      <c r="D394" s="20"/>
      <c r="E394" s="21"/>
      <c r="F394" s="21"/>
      <c r="G394" s="21"/>
      <c r="H394" s="21"/>
      <c r="I394" s="36"/>
      <c r="J394" s="36"/>
      <c r="K394" s="21"/>
      <c r="L394" s="21"/>
      <c r="M394" s="24">
        <f>IF(K394="",0,VLOOKUP(K394,#REF!,2,FALSE))</f>
        <v>0</v>
      </c>
      <c r="N394" s="24">
        <f>IF(L394="",0,VLOOKUP(L394,#REF!,2,FALSE))</f>
        <v>0</v>
      </c>
      <c r="O394" s="24">
        <f t="shared" si="10"/>
        <v>0</v>
      </c>
      <c r="P394" s="24">
        <f>IF(F394="Barrido","",O394)</f>
        <v>0</v>
      </c>
      <c r="Q394" s="24" t="str">
        <f>IF(F394="Barrido",O394,"")</f>
        <v/>
      </c>
      <c r="R394" s="24">
        <f>IF(I394&lt;&gt;"0",I394,"")</f>
        <v>0</v>
      </c>
      <c r="S394" s="22">
        <f>IF(J394&lt;&gt;"0",J394,"")</f>
        <v>0</v>
      </c>
      <c r="T394" s="23"/>
      <c r="U394" s="23"/>
      <c r="V394" s="23"/>
      <c r="W394" s="23"/>
      <c r="X394" s="23"/>
    </row>
    <row r="395" spans="1:24" x14ac:dyDescent="0.2">
      <c r="A395" s="18"/>
      <c r="B395" s="19" t="str">
        <f>IF(A395="","",VLOOKUP(Planilla!A395,#REF!,2,FALSE))</f>
        <v/>
      </c>
      <c r="C395" s="19" t="str">
        <f>IF(B395="","",VLOOKUP(Planilla!A395,#REF!,3,FALSE))</f>
        <v/>
      </c>
      <c r="D395" s="20"/>
      <c r="E395" s="21"/>
      <c r="F395" s="21"/>
      <c r="G395" s="21"/>
      <c r="H395" s="21"/>
      <c r="I395" s="36"/>
      <c r="J395" s="36"/>
      <c r="K395" s="21"/>
      <c r="L395" s="21"/>
      <c r="M395" s="24">
        <f>IF(K395="",0,VLOOKUP(K395,#REF!,2,FALSE))</f>
        <v>0</v>
      </c>
      <c r="N395" s="24">
        <f>IF(L395="",0,VLOOKUP(L395,#REF!,2,FALSE))</f>
        <v>0</v>
      </c>
      <c r="O395" s="24">
        <f t="shared" si="10"/>
        <v>0</v>
      </c>
      <c r="P395" s="24">
        <f>IF(F395="Barrido","",O395)</f>
        <v>0</v>
      </c>
      <c r="Q395" s="24" t="str">
        <f>IF(F395="Barrido",O395,"")</f>
        <v/>
      </c>
      <c r="R395" s="24">
        <f>IF(I395&lt;&gt;"0",I395,"")</f>
        <v>0</v>
      </c>
      <c r="S395" s="22">
        <f>IF(J395&lt;&gt;"0",J395,"")</f>
        <v>0</v>
      </c>
      <c r="T395" s="23"/>
      <c r="U395" s="23"/>
      <c r="V395" s="23"/>
      <c r="W395" s="23"/>
      <c r="X395" s="23"/>
    </row>
    <row r="396" spans="1:24" x14ac:dyDescent="0.2">
      <c r="A396" s="18"/>
      <c r="B396" s="19" t="str">
        <f>IF(A396="","",VLOOKUP(Planilla!A396,#REF!,2,FALSE))</f>
        <v/>
      </c>
      <c r="C396" s="19" t="str">
        <f>IF(B396="","",VLOOKUP(Planilla!A396,#REF!,3,FALSE))</f>
        <v/>
      </c>
      <c r="D396" s="20"/>
      <c r="E396" s="21"/>
      <c r="F396" s="21"/>
      <c r="G396" s="21"/>
      <c r="H396" s="21"/>
      <c r="I396" s="36"/>
      <c r="J396" s="36"/>
      <c r="K396" s="21"/>
      <c r="L396" s="21"/>
      <c r="M396" s="24">
        <f>IF(K396="",0,VLOOKUP(K396,#REF!,2,FALSE))</f>
        <v>0</v>
      </c>
      <c r="N396" s="24">
        <f>IF(L396="",0,VLOOKUP(L396,#REF!,2,FALSE))</f>
        <v>0</v>
      </c>
      <c r="O396" s="24">
        <f t="shared" si="10"/>
        <v>0</v>
      </c>
      <c r="P396" s="24">
        <f>IF(F396="Barrido","",O396)</f>
        <v>0</v>
      </c>
      <c r="Q396" s="24" t="str">
        <f>IF(F396="Barrido",O396,"")</f>
        <v/>
      </c>
      <c r="R396" s="24">
        <f>IF(I396&lt;&gt;"0",I396,"")</f>
        <v>0</v>
      </c>
      <c r="S396" s="22">
        <f>IF(J396&lt;&gt;"0",J396,"")</f>
        <v>0</v>
      </c>
      <c r="T396" s="23"/>
      <c r="U396" s="23"/>
      <c r="V396" s="23"/>
      <c r="W396" s="23"/>
      <c r="X396" s="23"/>
    </row>
    <row r="397" spans="1:24" x14ac:dyDescent="0.2">
      <c r="A397" s="18"/>
      <c r="B397" s="19" t="str">
        <f>IF(A397="","",VLOOKUP(Planilla!A397,#REF!,2,FALSE))</f>
        <v/>
      </c>
      <c r="C397" s="19" t="str">
        <f>IF(B397="","",VLOOKUP(Planilla!A397,#REF!,3,FALSE))</f>
        <v/>
      </c>
      <c r="D397" s="20"/>
      <c r="E397" s="21"/>
      <c r="F397" s="21"/>
      <c r="G397" s="21"/>
      <c r="H397" s="21"/>
      <c r="I397" s="36"/>
      <c r="J397" s="36"/>
      <c r="K397" s="21"/>
      <c r="L397" s="21"/>
      <c r="M397" s="24">
        <f>IF(K397="",0,VLOOKUP(K397,#REF!,2,FALSE))</f>
        <v>0</v>
      </c>
      <c r="N397" s="24">
        <f>IF(L397="",0,VLOOKUP(L397,#REF!,2,FALSE))</f>
        <v>0</v>
      </c>
      <c r="O397" s="24">
        <f t="shared" si="10"/>
        <v>0</v>
      </c>
      <c r="P397" s="24">
        <f>IF(F397="Barrido","",O397)</f>
        <v>0</v>
      </c>
      <c r="Q397" s="24" t="str">
        <f>IF(F397="Barrido",O397,"")</f>
        <v/>
      </c>
      <c r="R397" s="24">
        <f>IF(I397&lt;&gt;"0",I397,"")</f>
        <v>0</v>
      </c>
      <c r="S397" s="22">
        <f>IF(J397&lt;&gt;"0",J397,"")</f>
        <v>0</v>
      </c>
      <c r="T397" s="23"/>
      <c r="U397" s="23"/>
      <c r="V397" s="23"/>
      <c r="W397" s="23"/>
      <c r="X397" s="23"/>
    </row>
    <row r="398" spans="1:24" x14ac:dyDescent="0.2">
      <c r="A398" s="18"/>
      <c r="B398" s="19" t="str">
        <f>IF(A398="","",VLOOKUP(Planilla!A398,#REF!,2,FALSE))</f>
        <v/>
      </c>
      <c r="C398" s="19" t="str">
        <f>IF(B398="","",VLOOKUP(Planilla!A398,#REF!,3,FALSE))</f>
        <v/>
      </c>
      <c r="D398" s="20"/>
      <c r="E398" s="21"/>
      <c r="F398" s="21"/>
      <c r="G398" s="21"/>
      <c r="H398" s="21"/>
      <c r="I398" s="36"/>
      <c r="J398" s="36"/>
      <c r="K398" s="21"/>
      <c r="L398" s="21"/>
      <c r="M398" s="24">
        <f>IF(K398="",0,VLOOKUP(K398,#REF!,2,FALSE))</f>
        <v>0</v>
      </c>
      <c r="N398" s="24">
        <f>IF(L398="",0,VLOOKUP(L398,#REF!,2,FALSE))</f>
        <v>0</v>
      </c>
      <c r="O398" s="24">
        <f t="shared" si="10"/>
        <v>0</v>
      </c>
      <c r="P398" s="24">
        <f>IF(F398="Barrido","",O398)</f>
        <v>0</v>
      </c>
      <c r="Q398" s="24" t="str">
        <f>IF(F398="Barrido",O398,"")</f>
        <v/>
      </c>
      <c r="R398" s="24">
        <f>IF(I398&lt;&gt;"0",I398,"")</f>
        <v>0</v>
      </c>
      <c r="S398" s="22">
        <f>IF(J398&lt;&gt;"0",J398,"")</f>
        <v>0</v>
      </c>
      <c r="T398" s="23"/>
      <c r="U398" s="23"/>
      <c r="V398" s="23"/>
      <c r="W398" s="23"/>
      <c r="X398" s="23"/>
    </row>
    <row r="399" spans="1:24" x14ac:dyDescent="0.2">
      <c r="A399" s="18"/>
      <c r="B399" s="19" t="str">
        <f>IF(A399="","",VLOOKUP(Planilla!A399,#REF!,2,FALSE))</f>
        <v/>
      </c>
      <c r="C399" s="19" t="str">
        <f>IF(B399="","",VLOOKUP(Planilla!A399,#REF!,3,FALSE))</f>
        <v/>
      </c>
      <c r="D399" s="20"/>
      <c r="E399" s="21"/>
      <c r="F399" s="21"/>
      <c r="G399" s="21"/>
      <c r="H399" s="21"/>
      <c r="I399" s="36"/>
      <c r="J399" s="36"/>
      <c r="K399" s="21"/>
      <c r="L399" s="21"/>
      <c r="M399" s="24">
        <f>IF(K399="",0,VLOOKUP(K399,#REF!,2,FALSE))</f>
        <v>0</v>
      </c>
      <c r="N399" s="24">
        <f>IF(L399="",0,VLOOKUP(L399,#REF!,2,FALSE))</f>
        <v>0</v>
      </c>
      <c r="O399" s="24">
        <f t="shared" ref="O399:O462" si="11">M399+N399</f>
        <v>0</v>
      </c>
      <c r="P399" s="24">
        <f>IF(F399="Barrido","",O399)</f>
        <v>0</v>
      </c>
      <c r="Q399" s="24" t="str">
        <f>IF(F399="Barrido",O399,"")</f>
        <v/>
      </c>
      <c r="R399" s="24">
        <f>IF(I399&lt;&gt;"0",I399,"")</f>
        <v>0</v>
      </c>
      <c r="S399" s="22">
        <f>IF(J399&lt;&gt;"0",J399,"")</f>
        <v>0</v>
      </c>
      <c r="T399" s="23"/>
      <c r="U399" s="23"/>
      <c r="V399" s="23"/>
      <c r="W399" s="23"/>
      <c r="X399" s="23"/>
    </row>
    <row r="400" spans="1:24" x14ac:dyDescent="0.2">
      <c r="A400" s="18"/>
      <c r="B400" s="19" t="str">
        <f>IF(A400="","",VLOOKUP(Planilla!A400,#REF!,2,FALSE))</f>
        <v/>
      </c>
      <c r="C400" s="19" t="str">
        <f>IF(B400="","",VLOOKUP(Planilla!A400,#REF!,3,FALSE))</f>
        <v/>
      </c>
      <c r="D400" s="20"/>
      <c r="E400" s="21"/>
      <c r="F400" s="21"/>
      <c r="G400" s="21"/>
      <c r="H400" s="21"/>
      <c r="I400" s="36"/>
      <c r="J400" s="36"/>
      <c r="K400" s="21"/>
      <c r="L400" s="21"/>
      <c r="M400" s="24">
        <f>IF(K400="",0,VLOOKUP(K400,#REF!,2,FALSE))</f>
        <v>0</v>
      </c>
      <c r="N400" s="24">
        <f>IF(L400="",0,VLOOKUP(L400,#REF!,2,FALSE))</f>
        <v>0</v>
      </c>
      <c r="O400" s="24">
        <f t="shared" si="11"/>
        <v>0</v>
      </c>
      <c r="P400" s="24">
        <f>IF(F400="Barrido","",O400)</f>
        <v>0</v>
      </c>
      <c r="Q400" s="24" t="str">
        <f>IF(F400="Barrido",O400,"")</f>
        <v/>
      </c>
      <c r="R400" s="24">
        <f>IF(I400&lt;&gt;"0",I400,"")</f>
        <v>0</v>
      </c>
      <c r="S400" s="22">
        <f>IF(J400&lt;&gt;"0",J400,"")</f>
        <v>0</v>
      </c>
      <c r="T400" s="23"/>
      <c r="U400" s="23"/>
      <c r="V400" s="23"/>
      <c r="W400" s="23"/>
      <c r="X400" s="23"/>
    </row>
    <row r="401" spans="1:24" x14ac:dyDescent="0.2">
      <c r="A401" s="18"/>
      <c r="B401" s="19" t="str">
        <f>IF(A401="","",VLOOKUP(Planilla!A401,#REF!,2,FALSE))</f>
        <v/>
      </c>
      <c r="C401" s="19" t="str">
        <f>IF(B401="","",VLOOKUP(Planilla!A401,#REF!,3,FALSE))</f>
        <v/>
      </c>
      <c r="D401" s="20"/>
      <c r="E401" s="21"/>
      <c r="F401" s="21"/>
      <c r="G401" s="21"/>
      <c r="H401" s="21"/>
      <c r="I401" s="36"/>
      <c r="J401" s="36"/>
      <c r="K401" s="21"/>
      <c r="L401" s="21"/>
      <c r="M401" s="24">
        <f>IF(K401="",0,VLOOKUP(K401,#REF!,2,FALSE))</f>
        <v>0</v>
      </c>
      <c r="N401" s="24">
        <f>IF(L401="",0,VLOOKUP(L401,#REF!,2,FALSE))</f>
        <v>0</v>
      </c>
      <c r="O401" s="24">
        <f t="shared" si="11"/>
        <v>0</v>
      </c>
      <c r="P401" s="24">
        <f>IF(F401="Barrido","",O401)</f>
        <v>0</v>
      </c>
      <c r="Q401" s="24" t="str">
        <f>IF(F401="Barrido",O401,"")</f>
        <v/>
      </c>
      <c r="R401" s="24">
        <f>IF(I401&lt;&gt;"0",I401,"")</f>
        <v>0</v>
      </c>
      <c r="S401" s="22">
        <f>IF(J401&lt;&gt;"0",J401,"")</f>
        <v>0</v>
      </c>
      <c r="T401" s="23"/>
      <c r="U401" s="23"/>
      <c r="V401" s="23"/>
      <c r="W401" s="23"/>
      <c r="X401" s="23"/>
    </row>
    <row r="402" spans="1:24" x14ac:dyDescent="0.2">
      <c r="A402" s="18"/>
      <c r="B402" s="19" t="str">
        <f>IF(A402="","",VLOOKUP(Planilla!A402,#REF!,2,FALSE))</f>
        <v/>
      </c>
      <c r="C402" s="19" t="str">
        <f>IF(B402="","",VLOOKUP(Planilla!A402,#REF!,3,FALSE))</f>
        <v/>
      </c>
      <c r="D402" s="20"/>
      <c r="E402" s="21"/>
      <c r="F402" s="21"/>
      <c r="G402" s="21"/>
      <c r="H402" s="21"/>
      <c r="I402" s="36"/>
      <c r="J402" s="36"/>
      <c r="K402" s="21"/>
      <c r="L402" s="21"/>
      <c r="M402" s="24">
        <f>IF(K402="",0,VLOOKUP(K402,#REF!,2,FALSE))</f>
        <v>0</v>
      </c>
      <c r="N402" s="24">
        <f>IF(L402="",0,VLOOKUP(L402,#REF!,2,FALSE))</f>
        <v>0</v>
      </c>
      <c r="O402" s="24">
        <f t="shared" si="11"/>
        <v>0</v>
      </c>
      <c r="P402" s="24">
        <f>IF(F402="Barrido","",O402)</f>
        <v>0</v>
      </c>
      <c r="Q402" s="24" t="str">
        <f>IF(F402="Barrido",O402,"")</f>
        <v/>
      </c>
      <c r="R402" s="24">
        <f>IF(I402&lt;&gt;"0",I402,"")</f>
        <v>0</v>
      </c>
      <c r="S402" s="22">
        <f>IF(J402&lt;&gt;"0",J402,"")</f>
        <v>0</v>
      </c>
      <c r="T402" s="23"/>
      <c r="U402" s="23"/>
      <c r="V402" s="23"/>
      <c r="W402" s="23"/>
      <c r="X402" s="23"/>
    </row>
    <row r="403" spans="1:24" x14ac:dyDescent="0.2">
      <c r="A403" s="18"/>
      <c r="B403" s="19" t="str">
        <f>IF(A403="","",VLOOKUP(Planilla!A403,#REF!,2,FALSE))</f>
        <v/>
      </c>
      <c r="C403" s="19" t="str">
        <f>IF(B403="","",VLOOKUP(Planilla!A403,#REF!,3,FALSE))</f>
        <v/>
      </c>
      <c r="D403" s="20"/>
      <c r="E403" s="21"/>
      <c r="F403" s="21"/>
      <c r="G403" s="21"/>
      <c r="H403" s="21"/>
      <c r="I403" s="36"/>
      <c r="J403" s="36"/>
      <c r="K403" s="21"/>
      <c r="L403" s="21"/>
      <c r="M403" s="24">
        <f>IF(K403="",0,VLOOKUP(K403,#REF!,2,FALSE))</f>
        <v>0</v>
      </c>
      <c r="N403" s="24">
        <f>IF(L403="",0,VLOOKUP(L403,#REF!,2,FALSE))</f>
        <v>0</v>
      </c>
      <c r="O403" s="24">
        <f t="shared" si="11"/>
        <v>0</v>
      </c>
      <c r="P403" s="24">
        <f>IF(F403="Barrido","",O403)</f>
        <v>0</v>
      </c>
      <c r="Q403" s="24" t="str">
        <f>IF(F403="Barrido",O403,"")</f>
        <v/>
      </c>
      <c r="R403" s="24">
        <f>IF(I403&lt;&gt;"0",I403,"")</f>
        <v>0</v>
      </c>
      <c r="S403" s="22">
        <f>IF(J403&lt;&gt;"0",J403,"")</f>
        <v>0</v>
      </c>
      <c r="T403" s="23"/>
      <c r="U403" s="23"/>
      <c r="V403" s="23"/>
      <c r="W403" s="23"/>
      <c r="X403" s="23"/>
    </row>
    <row r="404" spans="1:24" x14ac:dyDescent="0.2">
      <c r="A404" s="18"/>
      <c r="B404" s="19" t="str">
        <f>IF(A404="","",VLOOKUP(Planilla!A404,#REF!,2,FALSE))</f>
        <v/>
      </c>
      <c r="C404" s="19" t="str">
        <f>IF(B404="","",VLOOKUP(Planilla!A404,#REF!,3,FALSE))</f>
        <v/>
      </c>
      <c r="D404" s="20"/>
      <c r="E404" s="21"/>
      <c r="F404" s="21"/>
      <c r="G404" s="21"/>
      <c r="H404" s="21"/>
      <c r="I404" s="36"/>
      <c r="J404" s="36"/>
      <c r="K404" s="21"/>
      <c r="L404" s="21"/>
      <c r="M404" s="24">
        <f>IF(K404="",0,VLOOKUP(K404,#REF!,2,FALSE))</f>
        <v>0</v>
      </c>
      <c r="N404" s="24">
        <f>IF(L404="",0,VLOOKUP(L404,#REF!,2,FALSE))</f>
        <v>0</v>
      </c>
      <c r="O404" s="24">
        <f t="shared" si="11"/>
        <v>0</v>
      </c>
      <c r="P404" s="24">
        <f>IF(F404="Barrido","",O404)</f>
        <v>0</v>
      </c>
      <c r="Q404" s="24" t="str">
        <f>IF(F404="Barrido",O404,"")</f>
        <v/>
      </c>
      <c r="R404" s="24">
        <f>IF(I404&lt;&gt;"0",I404,"")</f>
        <v>0</v>
      </c>
      <c r="S404" s="22">
        <f>IF(J404&lt;&gt;"0",J404,"")</f>
        <v>0</v>
      </c>
      <c r="T404" s="23"/>
      <c r="U404" s="23"/>
      <c r="V404" s="23"/>
      <c r="W404" s="23"/>
      <c r="X404" s="23"/>
    </row>
    <row r="405" spans="1:24" x14ac:dyDescent="0.2">
      <c r="A405" s="18"/>
      <c r="B405" s="19" t="str">
        <f>IF(A405="","",VLOOKUP(Planilla!A405,#REF!,2,FALSE))</f>
        <v/>
      </c>
      <c r="C405" s="19" t="str">
        <f>IF(B405="","",VLOOKUP(Planilla!A405,#REF!,3,FALSE))</f>
        <v/>
      </c>
      <c r="D405" s="20"/>
      <c r="E405" s="21"/>
      <c r="F405" s="21"/>
      <c r="G405" s="21"/>
      <c r="H405" s="21"/>
      <c r="I405" s="36"/>
      <c r="J405" s="36"/>
      <c r="K405" s="21"/>
      <c r="L405" s="21"/>
      <c r="M405" s="24">
        <f>IF(K405="",0,VLOOKUP(K405,#REF!,2,FALSE))</f>
        <v>0</v>
      </c>
      <c r="N405" s="24">
        <f>IF(L405="",0,VLOOKUP(L405,#REF!,2,FALSE))</f>
        <v>0</v>
      </c>
      <c r="O405" s="24">
        <f t="shared" si="11"/>
        <v>0</v>
      </c>
      <c r="P405" s="24">
        <f>IF(F405="Barrido","",O405)</f>
        <v>0</v>
      </c>
      <c r="Q405" s="24" t="str">
        <f>IF(F405="Barrido",O405,"")</f>
        <v/>
      </c>
      <c r="R405" s="24">
        <f>IF(I405&lt;&gt;"0",I405,"")</f>
        <v>0</v>
      </c>
      <c r="S405" s="22">
        <f>IF(J405&lt;&gt;"0",J405,"")</f>
        <v>0</v>
      </c>
      <c r="T405" s="23"/>
      <c r="U405" s="23"/>
      <c r="V405" s="23"/>
      <c r="W405" s="23"/>
      <c r="X405" s="23"/>
    </row>
    <row r="406" spans="1:24" x14ac:dyDescent="0.2">
      <c r="A406" s="18"/>
      <c r="B406" s="19" t="str">
        <f>IF(A406="","",VLOOKUP(Planilla!A406,#REF!,2,FALSE))</f>
        <v/>
      </c>
      <c r="C406" s="19" t="str">
        <f>IF(B406="","",VLOOKUP(Planilla!A406,#REF!,3,FALSE))</f>
        <v/>
      </c>
      <c r="D406" s="20"/>
      <c r="E406" s="21"/>
      <c r="F406" s="21"/>
      <c r="G406" s="21"/>
      <c r="H406" s="21"/>
      <c r="I406" s="36"/>
      <c r="J406" s="36"/>
      <c r="K406" s="21"/>
      <c r="L406" s="21"/>
      <c r="M406" s="24">
        <f>IF(K406="",0,VLOOKUP(K406,#REF!,2,FALSE))</f>
        <v>0</v>
      </c>
      <c r="N406" s="24">
        <f>IF(L406="",0,VLOOKUP(L406,#REF!,2,FALSE))</f>
        <v>0</v>
      </c>
      <c r="O406" s="24">
        <f t="shared" si="11"/>
        <v>0</v>
      </c>
      <c r="P406" s="24">
        <f>IF(F406="Barrido","",O406)</f>
        <v>0</v>
      </c>
      <c r="Q406" s="24" t="str">
        <f>IF(F406="Barrido",O406,"")</f>
        <v/>
      </c>
      <c r="R406" s="24">
        <f>IF(I406&lt;&gt;"0",I406,"")</f>
        <v>0</v>
      </c>
      <c r="S406" s="22">
        <f>IF(J406&lt;&gt;"0",J406,"")</f>
        <v>0</v>
      </c>
      <c r="T406" s="23"/>
      <c r="U406" s="23"/>
      <c r="V406" s="23"/>
      <c r="W406" s="23"/>
      <c r="X406" s="23"/>
    </row>
    <row r="407" spans="1:24" x14ac:dyDescent="0.2">
      <c r="A407" s="18"/>
      <c r="B407" s="19" t="str">
        <f>IF(A407="","",VLOOKUP(Planilla!A407,#REF!,2,FALSE))</f>
        <v/>
      </c>
      <c r="C407" s="19" t="str">
        <f>IF(B407="","",VLOOKUP(Planilla!A407,#REF!,3,FALSE))</f>
        <v/>
      </c>
      <c r="D407" s="20"/>
      <c r="E407" s="21"/>
      <c r="F407" s="21"/>
      <c r="G407" s="21"/>
      <c r="H407" s="21"/>
      <c r="I407" s="36"/>
      <c r="J407" s="36"/>
      <c r="K407" s="21"/>
      <c r="L407" s="21"/>
      <c r="M407" s="24">
        <f>IF(K407="",0,VLOOKUP(K407,#REF!,2,FALSE))</f>
        <v>0</v>
      </c>
      <c r="N407" s="24">
        <f>IF(L407="",0,VLOOKUP(L407,#REF!,2,FALSE))</f>
        <v>0</v>
      </c>
      <c r="O407" s="24">
        <f t="shared" si="11"/>
        <v>0</v>
      </c>
      <c r="P407" s="24">
        <f>IF(F407="Barrido","",O407)</f>
        <v>0</v>
      </c>
      <c r="Q407" s="24" t="str">
        <f>IF(F407="Barrido",O407,"")</f>
        <v/>
      </c>
      <c r="R407" s="24">
        <f>IF(I407&lt;&gt;"0",I407,"")</f>
        <v>0</v>
      </c>
      <c r="S407" s="22">
        <f>IF(J407&lt;&gt;"0",J407,"")</f>
        <v>0</v>
      </c>
      <c r="T407" s="23"/>
      <c r="U407" s="23"/>
      <c r="V407" s="23"/>
      <c r="W407" s="23"/>
      <c r="X407" s="23"/>
    </row>
    <row r="408" spans="1:24" x14ac:dyDescent="0.2">
      <c r="A408" s="18"/>
      <c r="B408" s="19" t="str">
        <f>IF(A408="","",VLOOKUP(Planilla!A408,#REF!,2,FALSE))</f>
        <v/>
      </c>
      <c r="C408" s="19" t="str">
        <f>IF(B408="","",VLOOKUP(Planilla!A408,#REF!,3,FALSE))</f>
        <v/>
      </c>
      <c r="D408" s="20"/>
      <c r="E408" s="21"/>
      <c r="F408" s="21"/>
      <c r="G408" s="21"/>
      <c r="H408" s="21"/>
      <c r="I408" s="36"/>
      <c r="J408" s="36"/>
      <c r="K408" s="21"/>
      <c r="L408" s="21"/>
      <c r="M408" s="24">
        <f>IF(K408="",0,VLOOKUP(K408,#REF!,2,FALSE))</f>
        <v>0</v>
      </c>
      <c r="N408" s="24">
        <f>IF(L408="",0,VLOOKUP(L408,#REF!,2,FALSE))</f>
        <v>0</v>
      </c>
      <c r="O408" s="24">
        <f t="shared" si="11"/>
        <v>0</v>
      </c>
      <c r="P408" s="24">
        <f>IF(F408="Barrido","",O408)</f>
        <v>0</v>
      </c>
      <c r="Q408" s="24" t="str">
        <f>IF(F408="Barrido",O408,"")</f>
        <v/>
      </c>
      <c r="R408" s="24">
        <f>IF(I408&lt;&gt;"0",I408,"")</f>
        <v>0</v>
      </c>
      <c r="S408" s="22">
        <f>IF(J408&lt;&gt;"0",J408,"")</f>
        <v>0</v>
      </c>
      <c r="T408" s="23"/>
      <c r="U408" s="23"/>
      <c r="V408" s="23"/>
      <c r="W408" s="23"/>
      <c r="X408" s="23"/>
    </row>
    <row r="409" spans="1:24" x14ac:dyDescent="0.2">
      <c r="A409" s="18"/>
      <c r="B409" s="19" t="str">
        <f>IF(A409="","",VLOOKUP(Planilla!A409,#REF!,2,FALSE))</f>
        <v/>
      </c>
      <c r="C409" s="19" t="str">
        <f>IF(B409="","",VLOOKUP(Planilla!A409,#REF!,3,FALSE))</f>
        <v/>
      </c>
      <c r="D409" s="20"/>
      <c r="E409" s="21"/>
      <c r="F409" s="21"/>
      <c r="G409" s="21"/>
      <c r="H409" s="21"/>
      <c r="I409" s="36"/>
      <c r="J409" s="36"/>
      <c r="K409" s="21"/>
      <c r="L409" s="21"/>
      <c r="M409" s="24">
        <f>IF(K409="",0,VLOOKUP(K409,#REF!,2,FALSE))</f>
        <v>0</v>
      </c>
      <c r="N409" s="24">
        <f>IF(L409="",0,VLOOKUP(L409,#REF!,2,FALSE))</f>
        <v>0</v>
      </c>
      <c r="O409" s="24">
        <f t="shared" si="11"/>
        <v>0</v>
      </c>
      <c r="P409" s="24">
        <f>IF(F409="Barrido","",O409)</f>
        <v>0</v>
      </c>
      <c r="Q409" s="24" t="str">
        <f>IF(F409="Barrido",O409,"")</f>
        <v/>
      </c>
      <c r="R409" s="24">
        <f>IF(I409&lt;&gt;"0",I409,"")</f>
        <v>0</v>
      </c>
      <c r="S409" s="22">
        <f>IF(J409&lt;&gt;"0",J409,"")</f>
        <v>0</v>
      </c>
      <c r="T409" s="23"/>
      <c r="U409" s="23"/>
      <c r="V409" s="23"/>
      <c r="W409" s="23"/>
      <c r="X409" s="23"/>
    </row>
    <row r="410" spans="1:24" x14ac:dyDescent="0.2">
      <c r="A410" s="18"/>
      <c r="B410" s="19" t="str">
        <f>IF(A410="","",VLOOKUP(Planilla!A410,#REF!,2,FALSE))</f>
        <v/>
      </c>
      <c r="C410" s="19" t="str">
        <f>IF(B410="","",VLOOKUP(Planilla!A410,#REF!,3,FALSE))</f>
        <v/>
      </c>
      <c r="D410" s="20"/>
      <c r="E410" s="21"/>
      <c r="F410" s="21"/>
      <c r="G410" s="21"/>
      <c r="H410" s="21"/>
      <c r="I410" s="36"/>
      <c r="J410" s="36"/>
      <c r="K410" s="21"/>
      <c r="L410" s="21"/>
      <c r="M410" s="24">
        <f>IF(K410="",0,VLOOKUP(K410,#REF!,2,FALSE))</f>
        <v>0</v>
      </c>
      <c r="N410" s="24">
        <f>IF(L410="",0,VLOOKUP(L410,#REF!,2,FALSE))</f>
        <v>0</v>
      </c>
      <c r="O410" s="24">
        <f t="shared" si="11"/>
        <v>0</v>
      </c>
      <c r="P410" s="24">
        <f>IF(F410="Barrido","",O410)</f>
        <v>0</v>
      </c>
      <c r="Q410" s="24" t="str">
        <f>IF(F410="Barrido",O410,"")</f>
        <v/>
      </c>
      <c r="R410" s="24">
        <f>IF(I410&lt;&gt;"0",I410,"")</f>
        <v>0</v>
      </c>
      <c r="S410" s="22">
        <f>IF(J410&lt;&gt;"0",J410,"")</f>
        <v>0</v>
      </c>
      <c r="T410" s="23"/>
      <c r="U410" s="23"/>
      <c r="V410" s="23"/>
      <c r="W410" s="23"/>
      <c r="X410" s="23"/>
    </row>
    <row r="411" spans="1:24" x14ac:dyDescent="0.2">
      <c r="A411" s="18"/>
      <c r="B411" s="19" t="str">
        <f>IF(A411="","",VLOOKUP(Planilla!A411,#REF!,2,FALSE))</f>
        <v/>
      </c>
      <c r="C411" s="19" t="str">
        <f>IF(B411="","",VLOOKUP(Planilla!A411,#REF!,3,FALSE))</f>
        <v/>
      </c>
      <c r="D411" s="20"/>
      <c r="E411" s="21"/>
      <c r="F411" s="21"/>
      <c r="G411" s="21"/>
      <c r="H411" s="21"/>
      <c r="I411" s="36"/>
      <c r="J411" s="36"/>
      <c r="K411" s="21"/>
      <c r="L411" s="21"/>
      <c r="M411" s="24">
        <f>IF(K411="",0,VLOOKUP(K411,#REF!,2,FALSE))</f>
        <v>0</v>
      </c>
      <c r="N411" s="24">
        <f>IF(L411="",0,VLOOKUP(L411,#REF!,2,FALSE))</f>
        <v>0</v>
      </c>
      <c r="O411" s="24">
        <f t="shared" si="11"/>
        <v>0</v>
      </c>
      <c r="P411" s="24">
        <f>IF(F411="Barrido","",O411)</f>
        <v>0</v>
      </c>
      <c r="Q411" s="24" t="str">
        <f>IF(F411="Barrido",O411,"")</f>
        <v/>
      </c>
      <c r="R411" s="24">
        <f>IF(I411&lt;&gt;"0",I411,"")</f>
        <v>0</v>
      </c>
      <c r="S411" s="22">
        <f>IF(J411&lt;&gt;"0",J411,"")</f>
        <v>0</v>
      </c>
      <c r="T411" s="23"/>
      <c r="U411" s="23"/>
      <c r="V411" s="23"/>
      <c r="W411" s="23"/>
      <c r="X411" s="23"/>
    </row>
    <row r="412" spans="1:24" x14ac:dyDescent="0.2">
      <c r="A412" s="18"/>
      <c r="B412" s="19" t="str">
        <f>IF(A412="","",VLOOKUP(Planilla!A412,#REF!,2,FALSE))</f>
        <v/>
      </c>
      <c r="C412" s="19" t="str">
        <f>IF(B412="","",VLOOKUP(Planilla!A412,#REF!,3,FALSE))</f>
        <v/>
      </c>
      <c r="D412" s="20"/>
      <c r="E412" s="21"/>
      <c r="F412" s="21"/>
      <c r="G412" s="21"/>
      <c r="H412" s="21"/>
      <c r="I412" s="36"/>
      <c r="J412" s="36"/>
      <c r="K412" s="21"/>
      <c r="L412" s="21"/>
      <c r="M412" s="24">
        <f>IF(K412="",0,VLOOKUP(K412,#REF!,2,FALSE))</f>
        <v>0</v>
      </c>
      <c r="N412" s="24">
        <f>IF(L412="",0,VLOOKUP(L412,#REF!,2,FALSE))</f>
        <v>0</v>
      </c>
      <c r="O412" s="24">
        <f t="shared" si="11"/>
        <v>0</v>
      </c>
      <c r="P412" s="24">
        <f>IF(F412="Barrido","",O412)</f>
        <v>0</v>
      </c>
      <c r="Q412" s="24" t="str">
        <f>IF(F412="Barrido",O412,"")</f>
        <v/>
      </c>
      <c r="R412" s="24">
        <f>IF(I412&lt;&gt;"0",I412,"")</f>
        <v>0</v>
      </c>
      <c r="S412" s="22">
        <f>IF(J412&lt;&gt;"0",J412,"")</f>
        <v>0</v>
      </c>
      <c r="T412" s="23"/>
      <c r="U412" s="23"/>
      <c r="V412" s="23"/>
      <c r="W412" s="23"/>
      <c r="X412" s="23"/>
    </row>
    <row r="413" spans="1:24" x14ac:dyDescent="0.2">
      <c r="A413" s="18"/>
      <c r="B413" s="19" t="str">
        <f>IF(A413="","",VLOOKUP(Planilla!A413,#REF!,2,FALSE))</f>
        <v/>
      </c>
      <c r="C413" s="19" t="str">
        <f>IF(B413="","",VLOOKUP(Planilla!A413,#REF!,3,FALSE))</f>
        <v/>
      </c>
      <c r="D413" s="20"/>
      <c r="E413" s="21"/>
      <c r="F413" s="21"/>
      <c r="G413" s="21"/>
      <c r="H413" s="21"/>
      <c r="I413" s="36"/>
      <c r="J413" s="36"/>
      <c r="K413" s="21"/>
      <c r="L413" s="21"/>
      <c r="M413" s="24">
        <f>IF(K413="",0,VLOOKUP(K413,#REF!,2,FALSE))</f>
        <v>0</v>
      </c>
      <c r="N413" s="24">
        <f>IF(L413="",0,VLOOKUP(L413,#REF!,2,FALSE))</f>
        <v>0</v>
      </c>
      <c r="O413" s="24">
        <f t="shared" si="11"/>
        <v>0</v>
      </c>
      <c r="P413" s="24">
        <f>IF(F413="Barrido","",O413)</f>
        <v>0</v>
      </c>
      <c r="Q413" s="24" t="str">
        <f>IF(F413="Barrido",O413,"")</f>
        <v/>
      </c>
      <c r="R413" s="24">
        <f>IF(I413&lt;&gt;"0",I413,"")</f>
        <v>0</v>
      </c>
      <c r="S413" s="22">
        <f>IF(J413&lt;&gt;"0",J413,"")</f>
        <v>0</v>
      </c>
      <c r="T413" s="23"/>
      <c r="U413" s="23"/>
      <c r="V413" s="23"/>
      <c r="W413" s="23"/>
      <c r="X413" s="23"/>
    </row>
    <row r="414" spans="1:24" x14ac:dyDescent="0.2">
      <c r="A414" s="18"/>
      <c r="B414" s="19" t="str">
        <f>IF(A414="","",VLOOKUP(Planilla!A414,#REF!,2,FALSE))</f>
        <v/>
      </c>
      <c r="C414" s="19" t="str">
        <f>IF(B414="","",VLOOKUP(Planilla!A414,#REF!,3,FALSE))</f>
        <v/>
      </c>
      <c r="D414" s="20"/>
      <c r="E414" s="21"/>
      <c r="F414" s="21"/>
      <c r="G414" s="21"/>
      <c r="H414" s="21"/>
      <c r="I414" s="36"/>
      <c r="J414" s="36"/>
      <c r="K414" s="21"/>
      <c r="L414" s="21"/>
      <c r="M414" s="24">
        <f>IF(K414="",0,VLOOKUP(K414,#REF!,2,FALSE))</f>
        <v>0</v>
      </c>
      <c r="N414" s="24">
        <f>IF(L414="",0,VLOOKUP(L414,#REF!,2,FALSE))</f>
        <v>0</v>
      </c>
      <c r="O414" s="24">
        <f t="shared" si="11"/>
        <v>0</v>
      </c>
      <c r="P414" s="24">
        <f>IF(F414="Barrido","",O414)</f>
        <v>0</v>
      </c>
      <c r="Q414" s="24" t="str">
        <f>IF(F414="Barrido",O414,"")</f>
        <v/>
      </c>
      <c r="R414" s="24">
        <f>IF(I414&lt;&gt;"0",I414,"")</f>
        <v>0</v>
      </c>
      <c r="S414" s="22">
        <f>IF(J414&lt;&gt;"0",J414,"")</f>
        <v>0</v>
      </c>
      <c r="T414" s="23"/>
      <c r="U414" s="23"/>
      <c r="V414" s="23"/>
      <c r="W414" s="23"/>
      <c r="X414" s="23"/>
    </row>
    <row r="415" spans="1:24" x14ac:dyDescent="0.2">
      <c r="A415" s="18"/>
      <c r="B415" s="19" t="str">
        <f>IF(A415="","",VLOOKUP(Planilla!A415,#REF!,2,FALSE))</f>
        <v/>
      </c>
      <c r="C415" s="19" t="str">
        <f>IF(B415="","",VLOOKUP(Planilla!A415,#REF!,3,FALSE))</f>
        <v/>
      </c>
      <c r="D415" s="20"/>
      <c r="E415" s="21"/>
      <c r="F415" s="21"/>
      <c r="G415" s="21"/>
      <c r="H415" s="21"/>
      <c r="I415" s="36"/>
      <c r="J415" s="36"/>
      <c r="K415" s="21"/>
      <c r="L415" s="21"/>
      <c r="M415" s="24">
        <f>IF(K415="",0,VLOOKUP(K415,#REF!,2,FALSE))</f>
        <v>0</v>
      </c>
      <c r="N415" s="24">
        <f>IF(L415="",0,VLOOKUP(L415,#REF!,2,FALSE))</f>
        <v>0</v>
      </c>
      <c r="O415" s="24">
        <f t="shared" si="11"/>
        <v>0</v>
      </c>
      <c r="P415" s="24">
        <f>IF(F415="Barrido","",O415)</f>
        <v>0</v>
      </c>
      <c r="Q415" s="24" t="str">
        <f>IF(F415="Barrido",O415,"")</f>
        <v/>
      </c>
      <c r="R415" s="24">
        <f>IF(I415&lt;&gt;"0",I415,"")</f>
        <v>0</v>
      </c>
      <c r="S415" s="22">
        <f>IF(J415&lt;&gt;"0",J415,"")</f>
        <v>0</v>
      </c>
      <c r="T415" s="23"/>
      <c r="U415" s="23"/>
      <c r="V415" s="23"/>
      <c r="W415" s="23"/>
      <c r="X415" s="23"/>
    </row>
    <row r="416" spans="1:24" x14ac:dyDescent="0.2">
      <c r="A416" s="18"/>
      <c r="B416" s="19" t="str">
        <f>IF(A416="","",VLOOKUP(Planilla!A416,#REF!,2,FALSE))</f>
        <v/>
      </c>
      <c r="C416" s="19" t="str">
        <f>IF(B416="","",VLOOKUP(Planilla!A416,#REF!,3,FALSE))</f>
        <v/>
      </c>
      <c r="D416" s="20"/>
      <c r="E416" s="21"/>
      <c r="F416" s="21"/>
      <c r="G416" s="21"/>
      <c r="H416" s="21"/>
      <c r="I416" s="36"/>
      <c r="J416" s="36"/>
      <c r="K416" s="21"/>
      <c r="L416" s="21"/>
      <c r="M416" s="24">
        <f>IF(K416="",0,VLOOKUP(K416,#REF!,2,FALSE))</f>
        <v>0</v>
      </c>
      <c r="N416" s="24">
        <f>IF(L416="",0,VLOOKUP(L416,#REF!,2,FALSE))</f>
        <v>0</v>
      </c>
      <c r="O416" s="24">
        <f t="shared" si="11"/>
        <v>0</v>
      </c>
      <c r="P416" s="24">
        <f>IF(F416="Barrido","",O416)</f>
        <v>0</v>
      </c>
      <c r="Q416" s="24" t="str">
        <f>IF(F416="Barrido",O416,"")</f>
        <v/>
      </c>
      <c r="R416" s="24">
        <f>IF(I416&lt;&gt;"0",I416,"")</f>
        <v>0</v>
      </c>
      <c r="S416" s="22">
        <f>IF(J416&lt;&gt;"0",J416,"")</f>
        <v>0</v>
      </c>
      <c r="T416" s="23"/>
      <c r="U416" s="23"/>
      <c r="V416" s="23"/>
      <c r="W416" s="23"/>
      <c r="X416" s="23"/>
    </row>
    <row r="417" spans="1:24" x14ac:dyDescent="0.2">
      <c r="A417" s="18"/>
      <c r="B417" s="19" t="str">
        <f>IF(A417="","",VLOOKUP(Planilla!A417,#REF!,2,FALSE))</f>
        <v/>
      </c>
      <c r="C417" s="19" t="str">
        <f>IF(B417="","",VLOOKUP(Planilla!A417,#REF!,3,FALSE))</f>
        <v/>
      </c>
      <c r="D417" s="20"/>
      <c r="E417" s="21"/>
      <c r="F417" s="21"/>
      <c r="G417" s="21"/>
      <c r="H417" s="21"/>
      <c r="I417" s="36"/>
      <c r="J417" s="36"/>
      <c r="K417" s="21"/>
      <c r="L417" s="21"/>
      <c r="M417" s="24">
        <f>IF(K417="",0,VLOOKUP(K417,#REF!,2,FALSE))</f>
        <v>0</v>
      </c>
      <c r="N417" s="24">
        <f>IF(L417="",0,VLOOKUP(L417,#REF!,2,FALSE))</f>
        <v>0</v>
      </c>
      <c r="O417" s="24">
        <f t="shared" si="11"/>
        <v>0</v>
      </c>
      <c r="P417" s="24">
        <f>IF(F417="Barrido","",O417)</f>
        <v>0</v>
      </c>
      <c r="Q417" s="24" t="str">
        <f>IF(F417="Barrido",O417,"")</f>
        <v/>
      </c>
      <c r="R417" s="24">
        <f>IF(I417&lt;&gt;"0",I417,"")</f>
        <v>0</v>
      </c>
      <c r="S417" s="22">
        <f>IF(J417&lt;&gt;"0",J417,"")</f>
        <v>0</v>
      </c>
      <c r="T417" s="23"/>
      <c r="U417" s="23"/>
      <c r="V417" s="23"/>
      <c r="W417" s="23"/>
      <c r="X417" s="23"/>
    </row>
    <row r="418" spans="1:24" x14ac:dyDescent="0.2">
      <c r="A418" s="18"/>
      <c r="B418" s="19" t="str">
        <f>IF(A418="","",VLOOKUP(Planilla!A418,#REF!,2,FALSE))</f>
        <v/>
      </c>
      <c r="C418" s="19" t="str">
        <f>IF(B418="","",VLOOKUP(Planilla!A418,#REF!,3,FALSE))</f>
        <v/>
      </c>
      <c r="D418" s="20"/>
      <c r="E418" s="21"/>
      <c r="F418" s="21"/>
      <c r="G418" s="21"/>
      <c r="H418" s="21"/>
      <c r="I418" s="36"/>
      <c r="J418" s="36"/>
      <c r="K418" s="21"/>
      <c r="L418" s="21"/>
      <c r="M418" s="24">
        <f>IF(K418="",0,VLOOKUP(K418,#REF!,2,FALSE))</f>
        <v>0</v>
      </c>
      <c r="N418" s="24">
        <f>IF(L418="",0,VLOOKUP(L418,#REF!,2,FALSE))</f>
        <v>0</v>
      </c>
      <c r="O418" s="24">
        <f t="shared" si="11"/>
        <v>0</v>
      </c>
      <c r="P418" s="24">
        <f>IF(F418="Barrido","",O418)</f>
        <v>0</v>
      </c>
      <c r="Q418" s="24" t="str">
        <f>IF(F418="Barrido",O418,"")</f>
        <v/>
      </c>
      <c r="R418" s="24">
        <f>IF(I418&lt;&gt;"0",I418,"")</f>
        <v>0</v>
      </c>
      <c r="S418" s="22">
        <f>IF(J418&lt;&gt;"0",J418,"")</f>
        <v>0</v>
      </c>
      <c r="T418" s="23"/>
      <c r="U418" s="23"/>
      <c r="V418" s="23"/>
      <c r="W418" s="23"/>
      <c r="X418" s="23"/>
    </row>
    <row r="419" spans="1:24" x14ac:dyDescent="0.2">
      <c r="A419" s="18"/>
      <c r="B419" s="19" t="str">
        <f>IF(A419="","",VLOOKUP(Planilla!A419,#REF!,2,FALSE))</f>
        <v/>
      </c>
      <c r="C419" s="19" t="str">
        <f>IF(B419="","",VLOOKUP(Planilla!A419,#REF!,3,FALSE))</f>
        <v/>
      </c>
      <c r="D419" s="20"/>
      <c r="E419" s="21"/>
      <c r="F419" s="21"/>
      <c r="G419" s="21"/>
      <c r="H419" s="21"/>
      <c r="I419" s="36"/>
      <c r="J419" s="36"/>
      <c r="K419" s="21"/>
      <c r="L419" s="21"/>
      <c r="M419" s="24">
        <f>IF(K419="",0,VLOOKUP(K419,#REF!,2,FALSE))</f>
        <v>0</v>
      </c>
      <c r="N419" s="24">
        <f>IF(L419="",0,VLOOKUP(L419,#REF!,2,FALSE))</f>
        <v>0</v>
      </c>
      <c r="O419" s="24">
        <f t="shared" si="11"/>
        <v>0</v>
      </c>
      <c r="P419" s="24">
        <f>IF(F419="Barrido","",O419)</f>
        <v>0</v>
      </c>
      <c r="Q419" s="24" t="str">
        <f>IF(F419="Barrido",O419,"")</f>
        <v/>
      </c>
      <c r="R419" s="24">
        <f>IF(I419&lt;&gt;"0",I419,"")</f>
        <v>0</v>
      </c>
      <c r="S419" s="22">
        <f>IF(J419&lt;&gt;"0",J419,"")</f>
        <v>0</v>
      </c>
      <c r="T419" s="23"/>
      <c r="U419" s="23"/>
      <c r="V419" s="23"/>
      <c r="W419" s="23"/>
      <c r="X419" s="23"/>
    </row>
    <row r="420" spans="1:24" x14ac:dyDescent="0.2">
      <c r="A420" s="18"/>
      <c r="B420" s="19" t="str">
        <f>IF(A420="","",VLOOKUP(Planilla!A420,#REF!,2,FALSE))</f>
        <v/>
      </c>
      <c r="C420" s="19" t="str">
        <f>IF(B420="","",VLOOKUP(Planilla!A420,#REF!,3,FALSE))</f>
        <v/>
      </c>
      <c r="D420" s="20"/>
      <c r="E420" s="21"/>
      <c r="F420" s="21"/>
      <c r="G420" s="21"/>
      <c r="H420" s="21"/>
      <c r="I420" s="36"/>
      <c r="J420" s="36"/>
      <c r="K420" s="21"/>
      <c r="L420" s="21"/>
      <c r="M420" s="24">
        <f>IF(K420="",0,VLOOKUP(K420,#REF!,2,FALSE))</f>
        <v>0</v>
      </c>
      <c r="N420" s="24">
        <f>IF(L420="",0,VLOOKUP(L420,#REF!,2,FALSE))</f>
        <v>0</v>
      </c>
      <c r="O420" s="24">
        <f t="shared" si="11"/>
        <v>0</v>
      </c>
      <c r="P420" s="24">
        <f>IF(F420="Barrido","",O420)</f>
        <v>0</v>
      </c>
      <c r="Q420" s="24" t="str">
        <f>IF(F420="Barrido",O420,"")</f>
        <v/>
      </c>
      <c r="R420" s="24">
        <f>IF(I420&lt;&gt;"0",I420,"")</f>
        <v>0</v>
      </c>
      <c r="S420" s="22">
        <f>IF(J420&lt;&gt;"0",J420,"")</f>
        <v>0</v>
      </c>
      <c r="T420" s="23"/>
      <c r="U420" s="23"/>
      <c r="V420" s="23"/>
      <c r="W420" s="23"/>
      <c r="X420" s="23"/>
    </row>
    <row r="421" spans="1:24" x14ac:dyDescent="0.2">
      <c r="A421" s="18"/>
      <c r="B421" s="19" t="str">
        <f>IF(A421="","",VLOOKUP(Planilla!A421,#REF!,2,FALSE))</f>
        <v/>
      </c>
      <c r="C421" s="19" t="str">
        <f>IF(B421="","",VLOOKUP(Planilla!A421,#REF!,3,FALSE))</f>
        <v/>
      </c>
      <c r="D421" s="20"/>
      <c r="E421" s="21"/>
      <c r="F421" s="21"/>
      <c r="G421" s="21"/>
      <c r="H421" s="21"/>
      <c r="I421" s="36"/>
      <c r="J421" s="36"/>
      <c r="K421" s="21"/>
      <c r="L421" s="21"/>
      <c r="M421" s="24">
        <f>IF(K421="",0,VLOOKUP(K421,#REF!,2,FALSE))</f>
        <v>0</v>
      </c>
      <c r="N421" s="24">
        <f>IF(L421="",0,VLOOKUP(L421,#REF!,2,FALSE))</f>
        <v>0</v>
      </c>
      <c r="O421" s="24">
        <f t="shared" si="11"/>
        <v>0</v>
      </c>
      <c r="P421" s="24">
        <f>IF(F421="Barrido","",O421)</f>
        <v>0</v>
      </c>
      <c r="Q421" s="24" t="str">
        <f>IF(F421="Barrido",O421,"")</f>
        <v/>
      </c>
      <c r="R421" s="24">
        <f>IF(I421&lt;&gt;"0",I421,"")</f>
        <v>0</v>
      </c>
      <c r="S421" s="22">
        <f>IF(J421&lt;&gt;"0",J421,"")</f>
        <v>0</v>
      </c>
      <c r="T421" s="23"/>
      <c r="U421" s="23"/>
      <c r="V421" s="23"/>
      <c r="W421" s="23"/>
      <c r="X421" s="23"/>
    </row>
    <row r="422" spans="1:24" x14ac:dyDescent="0.2">
      <c r="A422" s="18"/>
      <c r="B422" s="19" t="str">
        <f>IF(A422="","",VLOOKUP(Planilla!A422,#REF!,2,FALSE))</f>
        <v/>
      </c>
      <c r="C422" s="19" t="str">
        <f>IF(B422="","",VLOOKUP(Planilla!A422,#REF!,3,FALSE))</f>
        <v/>
      </c>
      <c r="D422" s="20"/>
      <c r="E422" s="21"/>
      <c r="F422" s="21"/>
      <c r="G422" s="21"/>
      <c r="H422" s="21"/>
      <c r="I422" s="36"/>
      <c r="J422" s="36"/>
      <c r="K422" s="21"/>
      <c r="L422" s="21"/>
      <c r="M422" s="24">
        <f>IF(K422="",0,VLOOKUP(K422,#REF!,2,FALSE))</f>
        <v>0</v>
      </c>
      <c r="N422" s="24">
        <f>IF(L422="",0,VLOOKUP(L422,#REF!,2,FALSE))</f>
        <v>0</v>
      </c>
      <c r="O422" s="24">
        <f t="shared" si="11"/>
        <v>0</v>
      </c>
      <c r="P422" s="24">
        <f>IF(F422="Barrido","",O422)</f>
        <v>0</v>
      </c>
      <c r="Q422" s="24" t="str">
        <f>IF(F422="Barrido",O422,"")</f>
        <v/>
      </c>
      <c r="R422" s="24">
        <f>IF(I422&lt;&gt;"0",I422,"")</f>
        <v>0</v>
      </c>
      <c r="S422" s="22">
        <f>IF(J422&lt;&gt;"0",J422,"")</f>
        <v>0</v>
      </c>
      <c r="T422" s="23"/>
      <c r="U422" s="23"/>
      <c r="V422" s="23"/>
      <c r="W422" s="23"/>
      <c r="X422" s="23"/>
    </row>
    <row r="423" spans="1:24" x14ac:dyDescent="0.2">
      <c r="A423" s="18"/>
      <c r="B423" s="19" t="str">
        <f>IF(A423="","",VLOOKUP(Planilla!A423,#REF!,2,FALSE))</f>
        <v/>
      </c>
      <c r="C423" s="19" t="str">
        <f>IF(B423="","",VLOOKUP(Planilla!A423,#REF!,3,FALSE))</f>
        <v/>
      </c>
      <c r="D423" s="20"/>
      <c r="E423" s="21"/>
      <c r="F423" s="21"/>
      <c r="G423" s="21"/>
      <c r="H423" s="21"/>
      <c r="I423" s="36"/>
      <c r="J423" s="36"/>
      <c r="K423" s="21"/>
      <c r="L423" s="21"/>
      <c r="M423" s="24">
        <f>IF(K423="",0,VLOOKUP(K423,#REF!,2,FALSE))</f>
        <v>0</v>
      </c>
      <c r="N423" s="24">
        <f>IF(L423="",0,VLOOKUP(L423,#REF!,2,FALSE))</f>
        <v>0</v>
      </c>
      <c r="O423" s="24">
        <f t="shared" si="11"/>
        <v>0</v>
      </c>
      <c r="P423" s="24">
        <f>IF(F423="Barrido","",O423)</f>
        <v>0</v>
      </c>
      <c r="Q423" s="24" t="str">
        <f>IF(F423="Barrido",O423,"")</f>
        <v/>
      </c>
      <c r="R423" s="24">
        <f>IF(I423&lt;&gt;"0",I423,"")</f>
        <v>0</v>
      </c>
      <c r="S423" s="22">
        <f>IF(J423&lt;&gt;"0",J423,"")</f>
        <v>0</v>
      </c>
      <c r="T423" s="23"/>
      <c r="U423" s="23"/>
      <c r="V423" s="23"/>
      <c r="W423" s="23"/>
      <c r="X423" s="23"/>
    </row>
    <row r="424" spans="1:24" x14ac:dyDescent="0.2">
      <c r="A424" s="18"/>
      <c r="B424" s="19" t="str">
        <f>IF(A424="","",VLOOKUP(Planilla!A424,#REF!,2,FALSE))</f>
        <v/>
      </c>
      <c r="C424" s="19" t="str">
        <f>IF(B424="","",VLOOKUP(Planilla!A424,#REF!,3,FALSE))</f>
        <v/>
      </c>
      <c r="D424" s="20"/>
      <c r="E424" s="21"/>
      <c r="F424" s="21"/>
      <c r="G424" s="21"/>
      <c r="H424" s="21"/>
      <c r="I424" s="36"/>
      <c r="J424" s="36"/>
      <c r="K424" s="21"/>
      <c r="L424" s="21"/>
      <c r="M424" s="24">
        <f>IF(K424="",0,VLOOKUP(K424,#REF!,2,FALSE))</f>
        <v>0</v>
      </c>
      <c r="N424" s="24">
        <f>IF(L424="",0,VLOOKUP(L424,#REF!,2,FALSE))</f>
        <v>0</v>
      </c>
      <c r="O424" s="24">
        <f t="shared" si="11"/>
        <v>0</v>
      </c>
      <c r="P424" s="24">
        <f>IF(F424="Barrido","",O424)</f>
        <v>0</v>
      </c>
      <c r="Q424" s="24" t="str">
        <f>IF(F424="Barrido",O424,"")</f>
        <v/>
      </c>
      <c r="R424" s="24">
        <f>IF(I424&lt;&gt;"0",I424,"")</f>
        <v>0</v>
      </c>
      <c r="S424" s="22">
        <f>IF(J424&lt;&gt;"0",J424,"")</f>
        <v>0</v>
      </c>
      <c r="T424" s="23"/>
      <c r="U424" s="23"/>
      <c r="V424" s="23"/>
      <c r="W424" s="23"/>
      <c r="X424" s="23"/>
    </row>
    <row r="425" spans="1:24" x14ac:dyDescent="0.2">
      <c r="A425" s="18"/>
      <c r="B425" s="19" t="str">
        <f>IF(A425="","",VLOOKUP(Planilla!A425,#REF!,2,FALSE))</f>
        <v/>
      </c>
      <c r="C425" s="19" t="str">
        <f>IF(B425="","",VLOOKUP(Planilla!A425,#REF!,3,FALSE))</f>
        <v/>
      </c>
      <c r="D425" s="20"/>
      <c r="E425" s="21"/>
      <c r="F425" s="21"/>
      <c r="G425" s="21"/>
      <c r="H425" s="21"/>
      <c r="I425" s="36"/>
      <c r="J425" s="36"/>
      <c r="K425" s="21"/>
      <c r="L425" s="21"/>
      <c r="M425" s="24">
        <f>IF(K425="",0,VLOOKUP(K425,#REF!,2,FALSE))</f>
        <v>0</v>
      </c>
      <c r="N425" s="24">
        <f>IF(L425="",0,VLOOKUP(L425,#REF!,2,FALSE))</f>
        <v>0</v>
      </c>
      <c r="O425" s="24">
        <f t="shared" si="11"/>
        <v>0</v>
      </c>
      <c r="P425" s="24">
        <f>IF(F425="Barrido","",O425)</f>
        <v>0</v>
      </c>
      <c r="Q425" s="24" t="str">
        <f>IF(F425="Barrido",O425,"")</f>
        <v/>
      </c>
      <c r="R425" s="24">
        <f>IF(I425&lt;&gt;"0",I425,"")</f>
        <v>0</v>
      </c>
      <c r="S425" s="22">
        <f>IF(J425&lt;&gt;"0",J425,"")</f>
        <v>0</v>
      </c>
      <c r="T425" s="23"/>
      <c r="U425" s="23"/>
      <c r="V425" s="23"/>
      <c r="W425" s="23"/>
      <c r="X425" s="23"/>
    </row>
    <row r="426" spans="1:24" x14ac:dyDescent="0.2">
      <c r="A426" s="18"/>
      <c r="B426" s="19" t="str">
        <f>IF(A426="","",VLOOKUP(Planilla!A426,#REF!,2,FALSE))</f>
        <v/>
      </c>
      <c r="C426" s="19" t="str">
        <f>IF(B426="","",VLOOKUP(Planilla!A426,#REF!,3,FALSE))</f>
        <v/>
      </c>
      <c r="D426" s="20"/>
      <c r="E426" s="21"/>
      <c r="F426" s="21"/>
      <c r="G426" s="21"/>
      <c r="H426" s="21"/>
      <c r="I426" s="36"/>
      <c r="J426" s="36"/>
      <c r="K426" s="21"/>
      <c r="L426" s="21"/>
      <c r="M426" s="24">
        <f>IF(K426="",0,VLOOKUP(K426,#REF!,2,FALSE))</f>
        <v>0</v>
      </c>
      <c r="N426" s="24">
        <f>IF(L426="",0,VLOOKUP(L426,#REF!,2,FALSE))</f>
        <v>0</v>
      </c>
      <c r="O426" s="24">
        <f t="shared" si="11"/>
        <v>0</v>
      </c>
      <c r="P426" s="24">
        <f>IF(F426="Barrido","",O426)</f>
        <v>0</v>
      </c>
      <c r="Q426" s="24" t="str">
        <f>IF(F426="Barrido",O426,"")</f>
        <v/>
      </c>
      <c r="R426" s="24">
        <f>IF(I426&lt;&gt;"0",I426,"")</f>
        <v>0</v>
      </c>
      <c r="S426" s="22">
        <f>IF(J426&lt;&gt;"0",J426,"")</f>
        <v>0</v>
      </c>
      <c r="T426" s="23"/>
      <c r="U426" s="23"/>
      <c r="V426" s="23"/>
      <c r="W426" s="23"/>
      <c r="X426" s="23"/>
    </row>
    <row r="427" spans="1:24" x14ac:dyDescent="0.2">
      <c r="A427" s="18"/>
      <c r="B427" s="19" t="str">
        <f>IF(A427="","",VLOOKUP(Planilla!A427,#REF!,2,FALSE))</f>
        <v/>
      </c>
      <c r="C427" s="19" t="str">
        <f>IF(B427="","",VLOOKUP(Planilla!A427,#REF!,3,FALSE))</f>
        <v/>
      </c>
      <c r="D427" s="20"/>
      <c r="E427" s="21"/>
      <c r="F427" s="21"/>
      <c r="G427" s="21"/>
      <c r="H427" s="21"/>
      <c r="I427" s="36"/>
      <c r="J427" s="36"/>
      <c r="K427" s="21"/>
      <c r="L427" s="21"/>
      <c r="M427" s="24">
        <f>IF(K427="",0,VLOOKUP(K427,#REF!,2,FALSE))</f>
        <v>0</v>
      </c>
      <c r="N427" s="24">
        <f>IF(L427="",0,VLOOKUP(L427,#REF!,2,FALSE))</f>
        <v>0</v>
      </c>
      <c r="O427" s="24">
        <f t="shared" si="11"/>
        <v>0</v>
      </c>
      <c r="P427" s="24">
        <f>IF(F427="Barrido","",O427)</f>
        <v>0</v>
      </c>
      <c r="Q427" s="24" t="str">
        <f>IF(F427="Barrido",O427,"")</f>
        <v/>
      </c>
      <c r="R427" s="24">
        <f>IF(I427&lt;&gt;"0",I427,"")</f>
        <v>0</v>
      </c>
      <c r="S427" s="22">
        <f>IF(J427&lt;&gt;"0",J427,"")</f>
        <v>0</v>
      </c>
      <c r="T427" s="23"/>
      <c r="U427" s="23"/>
      <c r="V427" s="23"/>
      <c r="W427" s="23"/>
      <c r="X427" s="23"/>
    </row>
    <row r="428" spans="1:24" x14ac:dyDescent="0.2">
      <c r="A428" s="18"/>
      <c r="B428" s="19" t="str">
        <f>IF(A428="","",VLOOKUP(Planilla!A428,#REF!,2,FALSE))</f>
        <v/>
      </c>
      <c r="C428" s="19" t="str">
        <f>IF(B428="","",VLOOKUP(Planilla!A428,#REF!,3,FALSE))</f>
        <v/>
      </c>
      <c r="D428" s="20"/>
      <c r="E428" s="21"/>
      <c r="F428" s="21"/>
      <c r="G428" s="21"/>
      <c r="H428" s="21"/>
      <c r="I428" s="36"/>
      <c r="J428" s="36"/>
      <c r="K428" s="21"/>
      <c r="L428" s="21"/>
      <c r="M428" s="24">
        <f>IF(K428="",0,VLOOKUP(K428,#REF!,2,FALSE))</f>
        <v>0</v>
      </c>
      <c r="N428" s="24">
        <f>IF(L428="",0,VLOOKUP(L428,#REF!,2,FALSE))</f>
        <v>0</v>
      </c>
      <c r="O428" s="24">
        <f t="shared" si="11"/>
        <v>0</v>
      </c>
      <c r="P428" s="24">
        <f>IF(F428="Barrido","",O428)</f>
        <v>0</v>
      </c>
      <c r="Q428" s="24" t="str">
        <f>IF(F428="Barrido",O428,"")</f>
        <v/>
      </c>
      <c r="R428" s="24">
        <f>IF(I428&lt;&gt;"0",I428,"")</f>
        <v>0</v>
      </c>
      <c r="S428" s="22">
        <f>IF(J428&lt;&gt;"0",J428,"")</f>
        <v>0</v>
      </c>
      <c r="T428" s="23"/>
      <c r="U428" s="23"/>
      <c r="V428" s="23"/>
      <c r="W428" s="23"/>
      <c r="X428" s="23"/>
    </row>
    <row r="429" spans="1:24" x14ac:dyDescent="0.2">
      <c r="A429" s="18"/>
      <c r="B429" s="19" t="str">
        <f>IF(A429="","",VLOOKUP(Planilla!A429,#REF!,2,FALSE))</f>
        <v/>
      </c>
      <c r="C429" s="19" t="str">
        <f>IF(B429="","",VLOOKUP(Planilla!A429,#REF!,3,FALSE))</f>
        <v/>
      </c>
      <c r="D429" s="20"/>
      <c r="E429" s="21"/>
      <c r="F429" s="21"/>
      <c r="G429" s="21"/>
      <c r="H429" s="21"/>
      <c r="I429" s="36"/>
      <c r="J429" s="36"/>
      <c r="K429" s="21"/>
      <c r="L429" s="21"/>
      <c r="M429" s="24">
        <f>IF(K429="",0,VLOOKUP(K429,#REF!,2,FALSE))</f>
        <v>0</v>
      </c>
      <c r="N429" s="24">
        <f>IF(L429="",0,VLOOKUP(L429,#REF!,2,FALSE))</f>
        <v>0</v>
      </c>
      <c r="O429" s="24">
        <f t="shared" si="11"/>
        <v>0</v>
      </c>
      <c r="P429" s="24">
        <f>IF(F429="Barrido","",O429)</f>
        <v>0</v>
      </c>
      <c r="Q429" s="24" t="str">
        <f>IF(F429="Barrido",O429,"")</f>
        <v/>
      </c>
      <c r="R429" s="24">
        <f>IF(I429&lt;&gt;"0",I429,"")</f>
        <v>0</v>
      </c>
      <c r="S429" s="22">
        <f>IF(J429&lt;&gt;"0",J429,"")</f>
        <v>0</v>
      </c>
      <c r="T429" s="23"/>
      <c r="U429" s="23"/>
      <c r="V429" s="23"/>
      <c r="W429" s="23"/>
      <c r="X429" s="23"/>
    </row>
    <row r="430" spans="1:24" x14ac:dyDescent="0.2">
      <c r="A430" s="18"/>
      <c r="B430" s="19" t="str">
        <f>IF(A430="","",VLOOKUP(Planilla!A430,#REF!,2,FALSE))</f>
        <v/>
      </c>
      <c r="C430" s="19" t="str">
        <f>IF(B430="","",VLOOKUP(Planilla!A430,#REF!,3,FALSE))</f>
        <v/>
      </c>
      <c r="D430" s="20"/>
      <c r="E430" s="21"/>
      <c r="F430" s="21"/>
      <c r="G430" s="21"/>
      <c r="H430" s="21"/>
      <c r="I430" s="36"/>
      <c r="J430" s="36"/>
      <c r="K430" s="21"/>
      <c r="L430" s="21"/>
      <c r="M430" s="24">
        <f>IF(K430="",0,VLOOKUP(K430,#REF!,2,FALSE))</f>
        <v>0</v>
      </c>
      <c r="N430" s="24">
        <f>IF(L430="",0,VLOOKUP(L430,#REF!,2,FALSE))</f>
        <v>0</v>
      </c>
      <c r="O430" s="24">
        <f t="shared" si="11"/>
        <v>0</v>
      </c>
      <c r="P430" s="24">
        <f>IF(F430="Barrido","",O430)</f>
        <v>0</v>
      </c>
      <c r="Q430" s="24" t="str">
        <f>IF(F430="Barrido",O430,"")</f>
        <v/>
      </c>
      <c r="R430" s="24">
        <f>IF(I430&lt;&gt;"0",I430,"")</f>
        <v>0</v>
      </c>
      <c r="S430" s="22">
        <f>IF(J430&lt;&gt;"0",J430,"")</f>
        <v>0</v>
      </c>
      <c r="T430" s="23"/>
      <c r="U430" s="23"/>
      <c r="V430" s="23"/>
      <c r="W430" s="23"/>
      <c r="X430" s="23"/>
    </row>
    <row r="431" spans="1:24" x14ac:dyDescent="0.2">
      <c r="A431" s="18"/>
      <c r="B431" s="19" t="str">
        <f>IF(A431="","",VLOOKUP(Planilla!A431,#REF!,2,FALSE))</f>
        <v/>
      </c>
      <c r="C431" s="19" t="str">
        <f>IF(B431="","",VLOOKUP(Planilla!A431,#REF!,3,FALSE))</f>
        <v/>
      </c>
      <c r="D431" s="20"/>
      <c r="E431" s="21"/>
      <c r="F431" s="21"/>
      <c r="G431" s="21"/>
      <c r="H431" s="21"/>
      <c r="I431" s="36"/>
      <c r="J431" s="36"/>
      <c r="K431" s="21"/>
      <c r="L431" s="21"/>
      <c r="M431" s="24">
        <f>IF(K431="",0,VLOOKUP(K431,#REF!,2,FALSE))</f>
        <v>0</v>
      </c>
      <c r="N431" s="24">
        <f>IF(L431="",0,VLOOKUP(L431,#REF!,2,FALSE))</f>
        <v>0</v>
      </c>
      <c r="O431" s="24">
        <f t="shared" si="11"/>
        <v>0</v>
      </c>
      <c r="P431" s="24">
        <f>IF(F431="Barrido","",O431)</f>
        <v>0</v>
      </c>
      <c r="Q431" s="24" t="str">
        <f>IF(F431="Barrido",O431,"")</f>
        <v/>
      </c>
      <c r="R431" s="24">
        <f>IF(I431&lt;&gt;"0",I431,"")</f>
        <v>0</v>
      </c>
      <c r="S431" s="22">
        <f>IF(J431&lt;&gt;"0",J431,"")</f>
        <v>0</v>
      </c>
      <c r="T431" s="23"/>
      <c r="U431" s="23"/>
      <c r="V431" s="23"/>
      <c r="W431" s="23"/>
      <c r="X431" s="23"/>
    </row>
    <row r="432" spans="1:24" x14ac:dyDescent="0.2">
      <c r="A432" s="18"/>
      <c r="B432" s="19" t="str">
        <f>IF(A432="","",VLOOKUP(Planilla!A432,#REF!,2,FALSE))</f>
        <v/>
      </c>
      <c r="C432" s="19" t="str">
        <f>IF(B432="","",VLOOKUP(Planilla!A432,#REF!,3,FALSE))</f>
        <v/>
      </c>
      <c r="D432" s="20"/>
      <c r="E432" s="21"/>
      <c r="F432" s="21"/>
      <c r="G432" s="21"/>
      <c r="H432" s="21"/>
      <c r="I432" s="36"/>
      <c r="J432" s="36"/>
      <c r="K432" s="21"/>
      <c r="L432" s="21"/>
      <c r="M432" s="24">
        <f>IF(K432="",0,VLOOKUP(K432,#REF!,2,FALSE))</f>
        <v>0</v>
      </c>
      <c r="N432" s="24">
        <f>IF(L432="",0,VLOOKUP(L432,#REF!,2,FALSE))</f>
        <v>0</v>
      </c>
      <c r="O432" s="24">
        <f t="shared" si="11"/>
        <v>0</v>
      </c>
      <c r="P432" s="24">
        <f>IF(F432="Barrido","",O432)</f>
        <v>0</v>
      </c>
      <c r="Q432" s="24" t="str">
        <f>IF(F432="Barrido",O432,"")</f>
        <v/>
      </c>
      <c r="R432" s="24">
        <f>IF(I432&lt;&gt;"0",I432,"")</f>
        <v>0</v>
      </c>
      <c r="S432" s="22">
        <f>IF(J432&lt;&gt;"0",J432,"")</f>
        <v>0</v>
      </c>
      <c r="T432" s="23"/>
      <c r="U432" s="23"/>
      <c r="V432" s="23"/>
      <c r="W432" s="23"/>
      <c r="X432" s="23"/>
    </row>
    <row r="433" spans="1:24" x14ac:dyDescent="0.2">
      <c r="A433" s="18"/>
      <c r="B433" s="19" t="str">
        <f>IF(A433="","",VLOOKUP(Planilla!A433,#REF!,2,FALSE))</f>
        <v/>
      </c>
      <c r="C433" s="19" t="str">
        <f>IF(B433="","",VLOOKUP(Planilla!A433,#REF!,3,FALSE))</f>
        <v/>
      </c>
      <c r="D433" s="20"/>
      <c r="E433" s="21"/>
      <c r="F433" s="21"/>
      <c r="G433" s="21"/>
      <c r="H433" s="21"/>
      <c r="I433" s="36"/>
      <c r="J433" s="36"/>
      <c r="K433" s="21"/>
      <c r="L433" s="21"/>
      <c r="M433" s="24">
        <f>IF(K433="",0,VLOOKUP(K433,#REF!,2,FALSE))</f>
        <v>0</v>
      </c>
      <c r="N433" s="24">
        <f>IF(L433="",0,VLOOKUP(L433,#REF!,2,FALSE))</f>
        <v>0</v>
      </c>
      <c r="O433" s="24">
        <f t="shared" si="11"/>
        <v>0</v>
      </c>
      <c r="P433" s="24">
        <f>IF(F433="Barrido","",O433)</f>
        <v>0</v>
      </c>
      <c r="Q433" s="24" t="str">
        <f>IF(F433="Barrido",O433,"")</f>
        <v/>
      </c>
      <c r="R433" s="24">
        <f>IF(I433&lt;&gt;"0",I433,"")</f>
        <v>0</v>
      </c>
      <c r="S433" s="22">
        <f>IF(J433&lt;&gt;"0",J433,"")</f>
        <v>0</v>
      </c>
      <c r="T433" s="23"/>
      <c r="U433" s="23"/>
      <c r="V433" s="23"/>
      <c r="W433" s="23"/>
      <c r="X433" s="23"/>
    </row>
    <row r="434" spans="1:24" x14ac:dyDescent="0.2">
      <c r="A434" s="18"/>
      <c r="B434" s="19" t="str">
        <f>IF(A434="","",VLOOKUP(Planilla!A434,#REF!,2,FALSE))</f>
        <v/>
      </c>
      <c r="C434" s="19" t="str">
        <f>IF(B434="","",VLOOKUP(Planilla!A434,#REF!,3,FALSE))</f>
        <v/>
      </c>
      <c r="D434" s="20"/>
      <c r="E434" s="21"/>
      <c r="F434" s="21"/>
      <c r="G434" s="21"/>
      <c r="H434" s="21"/>
      <c r="I434" s="36"/>
      <c r="J434" s="36"/>
      <c r="K434" s="21"/>
      <c r="L434" s="21"/>
      <c r="M434" s="24">
        <f>IF(K434="",0,VLOOKUP(K434,#REF!,2,FALSE))</f>
        <v>0</v>
      </c>
      <c r="N434" s="24">
        <f>IF(L434="",0,VLOOKUP(L434,#REF!,2,FALSE))</f>
        <v>0</v>
      </c>
      <c r="O434" s="24">
        <f t="shared" si="11"/>
        <v>0</v>
      </c>
      <c r="P434" s="24">
        <f>IF(F434="Barrido","",O434)</f>
        <v>0</v>
      </c>
      <c r="Q434" s="24" t="str">
        <f>IF(F434="Barrido",O434,"")</f>
        <v/>
      </c>
      <c r="R434" s="24">
        <f>IF(I434&lt;&gt;"0",I434,"")</f>
        <v>0</v>
      </c>
      <c r="S434" s="22">
        <f>IF(J434&lt;&gt;"0",J434,"")</f>
        <v>0</v>
      </c>
      <c r="T434" s="23"/>
      <c r="U434" s="23"/>
      <c r="V434" s="23"/>
      <c r="W434" s="23"/>
      <c r="X434" s="23"/>
    </row>
    <row r="435" spans="1:24" x14ac:dyDescent="0.2">
      <c r="A435" s="18"/>
      <c r="B435" s="19" t="str">
        <f>IF(A435="","",VLOOKUP(Planilla!A435,#REF!,2,FALSE))</f>
        <v/>
      </c>
      <c r="C435" s="19" t="str">
        <f>IF(B435="","",VLOOKUP(Planilla!A435,#REF!,3,FALSE))</f>
        <v/>
      </c>
      <c r="D435" s="20"/>
      <c r="E435" s="21"/>
      <c r="F435" s="21"/>
      <c r="G435" s="21"/>
      <c r="H435" s="21"/>
      <c r="I435" s="36"/>
      <c r="J435" s="36"/>
      <c r="K435" s="21"/>
      <c r="L435" s="21"/>
      <c r="M435" s="24">
        <f>IF(K435="",0,VLOOKUP(K435,#REF!,2,FALSE))</f>
        <v>0</v>
      </c>
      <c r="N435" s="24">
        <f>IF(L435="",0,VLOOKUP(L435,#REF!,2,FALSE))</f>
        <v>0</v>
      </c>
      <c r="O435" s="24">
        <f t="shared" si="11"/>
        <v>0</v>
      </c>
      <c r="P435" s="24">
        <f>IF(F435="Barrido","",O435)</f>
        <v>0</v>
      </c>
      <c r="Q435" s="24" t="str">
        <f>IF(F435="Barrido",O435,"")</f>
        <v/>
      </c>
      <c r="R435" s="24">
        <f>IF(I435&lt;&gt;"0",I435,"")</f>
        <v>0</v>
      </c>
      <c r="S435" s="22">
        <f>IF(J435&lt;&gt;"0",J435,"")</f>
        <v>0</v>
      </c>
      <c r="T435" s="23"/>
      <c r="U435" s="23"/>
      <c r="V435" s="23"/>
      <c r="W435" s="23"/>
      <c r="X435" s="23"/>
    </row>
    <row r="436" spans="1:24" x14ac:dyDescent="0.2">
      <c r="A436" s="18"/>
      <c r="B436" s="19" t="str">
        <f>IF(A436="","",VLOOKUP(Planilla!A436,#REF!,2,FALSE))</f>
        <v/>
      </c>
      <c r="C436" s="19" t="str">
        <f>IF(B436="","",VLOOKUP(Planilla!A436,#REF!,3,FALSE))</f>
        <v/>
      </c>
      <c r="D436" s="20"/>
      <c r="E436" s="21"/>
      <c r="F436" s="21"/>
      <c r="G436" s="21"/>
      <c r="H436" s="21"/>
      <c r="I436" s="36"/>
      <c r="J436" s="36"/>
      <c r="K436" s="21"/>
      <c r="L436" s="21"/>
      <c r="M436" s="24">
        <f>IF(K436="",0,VLOOKUP(K436,#REF!,2,FALSE))</f>
        <v>0</v>
      </c>
      <c r="N436" s="24">
        <f>IF(L436="",0,VLOOKUP(L436,#REF!,2,FALSE))</f>
        <v>0</v>
      </c>
      <c r="O436" s="24">
        <f t="shared" si="11"/>
        <v>0</v>
      </c>
      <c r="P436" s="24">
        <f>IF(F436="Barrido","",O436)</f>
        <v>0</v>
      </c>
      <c r="Q436" s="24" t="str">
        <f>IF(F436="Barrido",O436,"")</f>
        <v/>
      </c>
      <c r="R436" s="24">
        <f>IF(I436&lt;&gt;"0",I436,"")</f>
        <v>0</v>
      </c>
      <c r="S436" s="22">
        <f>IF(J436&lt;&gt;"0",J436,"")</f>
        <v>0</v>
      </c>
      <c r="T436" s="23"/>
      <c r="U436" s="23"/>
      <c r="V436" s="23"/>
      <c r="W436" s="23"/>
      <c r="X436" s="23"/>
    </row>
    <row r="437" spans="1:24" x14ac:dyDescent="0.2">
      <c r="A437" s="18"/>
      <c r="B437" s="19" t="str">
        <f>IF(A437="","",VLOOKUP(Planilla!A437,#REF!,2,FALSE))</f>
        <v/>
      </c>
      <c r="C437" s="19" t="str">
        <f>IF(B437="","",VLOOKUP(Planilla!A437,#REF!,3,FALSE))</f>
        <v/>
      </c>
      <c r="D437" s="20"/>
      <c r="E437" s="21"/>
      <c r="F437" s="21"/>
      <c r="G437" s="21"/>
      <c r="H437" s="21"/>
      <c r="I437" s="36"/>
      <c r="J437" s="36"/>
      <c r="K437" s="21"/>
      <c r="L437" s="21"/>
      <c r="M437" s="24">
        <f>IF(K437="",0,VLOOKUP(K437,#REF!,2,FALSE))</f>
        <v>0</v>
      </c>
      <c r="N437" s="24">
        <f>IF(L437="",0,VLOOKUP(L437,#REF!,2,FALSE))</f>
        <v>0</v>
      </c>
      <c r="O437" s="24">
        <f t="shared" si="11"/>
        <v>0</v>
      </c>
      <c r="P437" s="24">
        <f>IF(F437="Barrido","",O437)</f>
        <v>0</v>
      </c>
      <c r="Q437" s="24" t="str">
        <f>IF(F437="Barrido",O437,"")</f>
        <v/>
      </c>
      <c r="R437" s="24">
        <f>IF(I437&lt;&gt;"0",I437,"")</f>
        <v>0</v>
      </c>
      <c r="S437" s="22">
        <f>IF(J437&lt;&gt;"0",J437,"")</f>
        <v>0</v>
      </c>
      <c r="T437" s="23"/>
      <c r="U437" s="23"/>
      <c r="V437" s="23"/>
      <c r="W437" s="23"/>
      <c r="X437" s="23"/>
    </row>
    <row r="438" spans="1:24" x14ac:dyDescent="0.2">
      <c r="A438" s="18"/>
      <c r="B438" s="19" t="str">
        <f>IF(A438="","",VLOOKUP(Planilla!A438,#REF!,2,FALSE))</f>
        <v/>
      </c>
      <c r="C438" s="19" t="str">
        <f>IF(B438="","",VLOOKUP(Planilla!A438,#REF!,3,FALSE))</f>
        <v/>
      </c>
      <c r="D438" s="20"/>
      <c r="E438" s="21"/>
      <c r="F438" s="21"/>
      <c r="G438" s="21"/>
      <c r="H438" s="21"/>
      <c r="I438" s="36"/>
      <c r="J438" s="36"/>
      <c r="K438" s="21"/>
      <c r="L438" s="21"/>
      <c r="M438" s="24">
        <f>IF(K438="",0,VLOOKUP(K438,#REF!,2,FALSE))</f>
        <v>0</v>
      </c>
      <c r="N438" s="24">
        <f>IF(L438="",0,VLOOKUP(L438,#REF!,2,FALSE))</f>
        <v>0</v>
      </c>
      <c r="O438" s="24">
        <f t="shared" si="11"/>
        <v>0</v>
      </c>
      <c r="P438" s="24">
        <f>IF(F438="Barrido","",O438)</f>
        <v>0</v>
      </c>
      <c r="Q438" s="24" t="str">
        <f>IF(F438="Barrido",O438,"")</f>
        <v/>
      </c>
      <c r="R438" s="24">
        <f>IF(I438&lt;&gt;"0",I438,"")</f>
        <v>0</v>
      </c>
      <c r="S438" s="22">
        <f>IF(J438&lt;&gt;"0",J438,"")</f>
        <v>0</v>
      </c>
      <c r="T438" s="23"/>
      <c r="U438" s="23"/>
      <c r="V438" s="23"/>
      <c r="W438" s="23"/>
      <c r="X438" s="23"/>
    </row>
    <row r="439" spans="1:24" x14ac:dyDescent="0.2">
      <c r="A439" s="18"/>
      <c r="B439" s="19" t="str">
        <f>IF(A439="","",VLOOKUP(Planilla!A439,#REF!,2,FALSE))</f>
        <v/>
      </c>
      <c r="C439" s="19" t="str">
        <f>IF(B439="","",VLOOKUP(Planilla!A439,#REF!,3,FALSE))</f>
        <v/>
      </c>
      <c r="D439" s="20"/>
      <c r="E439" s="21"/>
      <c r="F439" s="21"/>
      <c r="G439" s="21"/>
      <c r="H439" s="21"/>
      <c r="I439" s="36"/>
      <c r="J439" s="36"/>
      <c r="K439" s="21"/>
      <c r="L439" s="21"/>
      <c r="M439" s="24">
        <f>IF(K439="",0,VLOOKUP(K439,#REF!,2,FALSE))</f>
        <v>0</v>
      </c>
      <c r="N439" s="24">
        <f>IF(L439="",0,VLOOKUP(L439,#REF!,2,FALSE))</f>
        <v>0</v>
      </c>
      <c r="O439" s="24">
        <f t="shared" si="11"/>
        <v>0</v>
      </c>
      <c r="P439" s="24">
        <f>IF(F439="Barrido","",O439)</f>
        <v>0</v>
      </c>
      <c r="Q439" s="24" t="str">
        <f>IF(F439="Barrido",O439,"")</f>
        <v/>
      </c>
      <c r="R439" s="24">
        <f>IF(I439&lt;&gt;"0",I439,"")</f>
        <v>0</v>
      </c>
      <c r="S439" s="22">
        <f>IF(J439&lt;&gt;"0",J439,"")</f>
        <v>0</v>
      </c>
      <c r="T439" s="23"/>
      <c r="U439" s="23"/>
      <c r="V439" s="23"/>
      <c r="W439" s="23"/>
      <c r="X439" s="23"/>
    </row>
    <row r="440" spans="1:24" x14ac:dyDescent="0.2">
      <c r="A440" s="18"/>
      <c r="B440" s="19" t="str">
        <f>IF(A440="","",VLOOKUP(Planilla!A440,#REF!,2,FALSE))</f>
        <v/>
      </c>
      <c r="C440" s="19" t="str">
        <f>IF(B440="","",VLOOKUP(Planilla!A440,#REF!,3,FALSE))</f>
        <v/>
      </c>
      <c r="D440" s="20"/>
      <c r="E440" s="21"/>
      <c r="F440" s="21"/>
      <c r="G440" s="21"/>
      <c r="H440" s="21"/>
      <c r="I440" s="36"/>
      <c r="J440" s="36"/>
      <c r="K440" s="21"/>
      <c r="L440" s="21"/>
      <c r="M440" s="24">
        <f>IF(K440="",0,VLOOKUP(K440,#REF!,2,FALSE))</f>
        <v>0</v>
      </c>
      <c r="N440" s="24">
        <f>IF(L440="",0,VLOOKUP(L440,#REF!,2,FALSE))</f>
        <v>0</v>
      </c>
      <c r="O440" s="24">
        <f t="shared" si="11"/>
        <v>0</v>
      </c>
      <c r="P440" s="24">
        <f>IF(F440="Barrido","",O440)</f>
        <v>0</v>
      </c>
      <c r="Q440" s="24" t="str">
        <f>IF(F440="Barrido",O440,"")</f>
        <v/>
      </c>
      <c r="R440" s="24">
        <f>IF(I440&lt;&gt;"0",I440,"")</f>
        <v>0</v>
      </c>
      <c r="S440" s="22">
        <f>IF(J440&lt;&gt;"0",J440,"")</f>
        <v>0</v>
      </c>
      <c r="T440" s="23"/>
      <c r="U440" s="23"/>
      <c r="V440" s="23"/>
      <c r="W440" s="23"/>
      <c r="X440" s="23"/>
    </row>
    <row r="441" spans="1:24" x14ac:dyDescent="0.2">
      <c r="A441" s="18"/>
      <c r="B441" s="19" t="str">
        <f>IF(A441="","",VLOOKUP(Planilla!A441,#REF!,2,FALSE))</f>
        <v/>
      </c>
      <c r="C441" s="19" t="str">
        <f>IF(B441="","",VLOOKUP(Planilla!A441,#REF!,3,FALSE))</f>
        <v/>
      </c>
      <c r="D441" s="20"/>
      <c r="E441" s="21"/>
      <c r="F441" s="21"/>
      <c r="G441" s="21"/>
      <c r="H441" s="21"/>
      <c r="I441" s="36"/>
      <c r="J441" s="36"/>
      <c r="K441" s="21"/>
      <c r="L441" s="21"/>
      <c r="M441" s="24">
        <f>IF(K441="",0,VLOOKUP(K441,#REF!,2,FALSE))</f>
        <v>0</v>
      </c>
      <c r="N441" s="24">
        <f>IF(L441="",0,VLOOKUP(L441,#REF!,2,FALSE))</f>
        <v>0</v>
      </c>
      <c r="O441" s="24">
        <f t="shared" si="11"/>
        <v>0</v>
      </c>
      <c r="P441" s="24">
        <f>IF(F441="Barrido","",O441)</f>
        <v>0</v>
      </c>
      <c r="Q441" s="24" t="str">
        <f>IF(F441="Barrido",O441,"")</f>
        <v/>
      </c>
      <c r="R441" s="24">
        <f>IF(I441&lt;&gt;"0",I441,"")</f>
        <v>0</v>
      </c>
      <c r="S441" s="22">
        <f>IF(J441&lt;&gt;"0",J441,"")</f>
        <v>0</v>
      </c>
      <c r="T441" s="23"/>
      <c r="U441" s="23"/>
      <c r="V441" s="23"/>
      <c r="W441" s="23"/>
      <c r="X441" s="23"/>
    </row>
    <row r="442" spans="1:24" x14ac:dyDescent="0.2">
      <c r="A442" s="18"/>
      <c r="B442" s="19" t="str">
        <f>IF(A442="","",VLOOKUP(Planilla!A442,#REF!,2,FALSE))</f>
        <v/>
      </c>
      <c r="C442" s="19" t="str">
        <f>IF(B442="","",VLOOKUP(Planilla!A442,#REF!,3,FALSE))</f>
        <v/>
      </c>
      <c r="D442" s="20"/>
      <c r="E442" s="21"/>
      <c r="F442" s="21"/>
      <c r="G442" s="21"/>
      <c r="H442" s="21"/>
      <c r="I442" s="36"/>
      <c r="J442" s="36"/>
      <c r="K442" s="21"/>
      <c r="L442" s="21"/>
      <c r="M442" s="24">
        <f>IF(K442="",0,VLOOKUP(K442,#REF!,2,FALSE))</f>
        <v>0</v>
      </c>
      <c r="N442" s="24">
        <f>IF(L442="",0,VLOOKUP(L442,#REF!,2,FALSE))</f>
        <v>0</v>
      </c>
      <c r="O442" s="24">
        <f t="shared" si="11"/>
        <v>0</v>
      </c>
      <c r="P442" s="24">
        <f>IF(F442="Barrido","",O442)</f>
        <v>0</v>
      </c>
      <c r="Q442" s="24" t="str">
        <f>IF(F442="Barrido",O442,"")</f>
        <v/>
      </c>
      <c r="R442" s="24">
        <f>IF(I442&lt;&gt;"0",I442,"")</f>
        <v>0</v>
      </c>
      <c r="S442" s="22">
        <f>IF(J442&lt;&gt;"0",J442,"")</f>
        <v>0</v>
      </c>
      <c r="T442" s="23"/>
      <c r="U442" s="23"/>
      <c r="V442" s="23"/>
      <c r="W442" s="23"/>
      <c r="X442" s="23"/>
    </row>
    <row r="443" spans="1:24" x14ac:dyDescent="0.2">
      <c r="A443" s="18"/>
      <c r="B443" s="19" t="str">
        <f>IF(A443="","",VLOOKUP(Planilla!A443,#REF!,2,FALSE))</f>
        <v/>
      </c>
      <c r="C443" s="19" t="str">
        <f>IF(B443="","",VLOOKUP(Planilla!A443,#REF!,3,FALSE))</f>
        <v/>
      </c>
      <c r="D443" s="20"/>
      <c r="E443" s="21"/>
      <c r="F443" s="21"/>
      <c r="G443" s="21"/>
      <c r="H443" s="21"/>
      <c r="I443" s="36"/>
      <c r="J443" s="36"/>
      <c r="K443" s="21"/>
      <c r="L443" s="21"/>
      <c r="M443" s="24">
        <f>IF(K443="",0,VLOOKUP(K443,#REF!,2,FALSE))</f>
        <v>0</v>
      </c>
      <c r="N443" s="24">
        <f>IF(L443="",0,VLOOKUP(L443,#REF!,2,FALSE))</f>
        <v>0</v>
      </c>
      <c r="O443" s="24">
        <f t="shared" si="11"/>
        <v>0</v>
      </c>
      <c r="P443" s="24">
        <f>IF(F443="Barrido","",O443)</f>
        <v>0</v>
      </c>
      <c r="Q443" s="24" t="str">
        <f>IF(F443="Barrido",O443,"")</f>
        <v/>
      </c>
      <c r="R443" s="24">
        <f>IF(I443&lt;&gt;"0",I443,"")</f>
        <v>0</v>
      </c>
      <c r="S443" s="22">
        <f>IF(J443&lt;&gt;"0",J443,"")</f>
        <v>0</v>
      </c>
      <c r="T443" s="23"/>
      <c r="U443" s="23"/>
      <c r="V443" s="23"/>
      <c r="W443" s="23"/>
      <c r="X443" s="23"/>
    </row>
    <row r="444" spans="1:24" x14ac:dyDescent="0.2">
      <c r="A444" s="18"/>
      <c r="B444" s="19" t="str">
        <f>IF(A444="","",VLOOKUP(Planilla!A444,#REF!,2,FALSE))</f>
        <v/>
      </c>
      <c r="C444" s="19" t="str">
        <f>IF(B444="","",VLOOKUP(Planilla!A444,#REF!,3,FALSE))</f>
        <v/>
      </c>
      <c r="D444" s="20"/>
      <c r="E444" s="21"/>
      <c r="F444" s="21"/>
      <c r="G444" s="21"/>
      <c r="H444" s="21"/>
      <c r="I444" s="36"/>
      <c r="J444" s="36"/>
      <c r="K444" s="21"/>
      <c r="L444" s="21"/>
      <c r="M444" s="24">
        <f>IF(K444="",0,VLOOKUP(K444,#REF!,2,FALSE))</f>
        <v>0</v>
      </c>
      <c r="N444" s="24">
        <f>IF(L444="",0,VLOOKUP(L444,#REF!,2,FALSE))</f>
        <v>0</v>
      </c>
      <c r="O444" s="24">
        <f t="shared" si="11"/>
        <v>0</v>
      </c>
      <c r="P444" s="24">
        <f>IF(F444="Barrido","",O444)</f>
        <v>0</v>
      </c>
      <c r="Q444" s="24" t="str">
        <f>IF(F444="Barrido",O444,"")</f>
        <v/>
      </c>
      <c r="R444" s="24">
        <f>IF(I444&lt;&gt;"0",I444,"")</f>
        <v>0</v>
      </c>
      <c r="S444" s="22">
        <f>IF(J444&lt;&gt;"0",J444,"")</f>
        <v>0</v>
      </c>
      <c r="T444" s="23"/>
      <c r="U444" s="23"/>
      <c r="V444" s="23"/>
      <c r="W444" s="23"/>
      <c r="X444" s="23"/>
    </row>
    <row r="445" spans="1:24" x14ac:dyDescent="0.2">
      <c r="A445" s="18"/>
      <c r="B445" s="19" t="str">
        <f>IF(A445="","",VLOOKUP(Planilla!A445,#REF!,2,FALSE))</f>
        <v/>
      </c>
      <c r="C445" s="19" t="str">
        <f>IF(B445="","",VLOOKUP(Planilla!A445,#REF!,3,FALSE))</f>
        <v/>
      </c>
      <c r="D445" s="20"/>
      <c r="E445" s="21"/>
      <c r="F445" s="21"/>
      <c r="G445" s="21"/>
      <c r="H445" s="21"/>
      <c r="I445" s="36"/>
      <c r="J445" s="36"/>
      <c r="K445" s="21"/>
      <c r="L445" s="21"/>
      <c r="M445" s="24">
        <f>IF(K445="",0,VLOOKUP(K445,#REF!,2,FALSE))</f>
        <v>0</v>
      </c>
      <c r="N445" s="24">
        <f>IF(L445="",0,VLOOKUP(L445,#REF!,2,FALSE))</f>
        <v>0</v>
      </c>
      <c r="O445" s="24">
        <f t="shared" si="11"/>
        <v>0</v>
      </c>
      <c r="P445" s="24">
        <f>IF(F445="Barrido","",O445)</f>
        <v>0</v>
      </c>
      <c r="Q445" s="24" t="str">
        <f>IF(F445="Barrido",O445,"")</f>
        <v/>
      </c>
      <c r="R445" s="24">
        <f>IF(I445&lt;&gt;"0",I445,"")</f>
        <v>0</v>
      </c>
      <c r="S445" s="22">
        <f>IF(J445&lt;&gt;"0",J445,"")</f>
        <v>0</v>
      </c>
      <c r="T445" s="23"/>
      <c r="U445" s="23"/>
      <c r="V445" s="23"/>
      <c r="W445" s="23"/>
      <c r="X445" s="23"/>
    </row>
    <row r="446" spans="1:24" x14ac:dyDescent="0.2">
      <c r="A446" s="18"/>
      <c r="B446" s="19" t="str">
        <f>IF(A446="","",VLOOKUP(Planilla!A446,#REF!,2,FALSE))</f>
        <v/>
      </c>
      <c r="C446" s="19" t="str">
        <f>IF(B446="","",VLOOKUP(Planilla!A446,#REF!,3,FALSE))</f>
        <v/>
      </c>
      <c r="D446" s="20"/>
      <c r="E446" s="21"/>
      <c r="F446" s="21"/>
      <c r="G446" s="21"/>
      <c r="H446" s="21"/>
      <c r="I446" s="36"/>
      <c r="J446" s="36"/>
      <c r="K446" s="21"/>
      <c r="L446" s="21"/>
      <c r="M446" s="24">
        <f>IF(K446="",0,VLOOKUP(K446,#REF!,2,FALSE))</f>
        <v>0</v>
      </c>
      <c r="N446" s="24">
        <f>IF(L446="",0,VLOOKUP(L446,#REF!,2,FALSE))</f>
        <v>0</v>
      </c>
      <c r="O446" s="24">
        <f t="shared" si="11"/>
        <v>0</v>
      </c>
      <c r="P446" s="24">
        <f>IF(F446="Barrido","",O446)</f>
        <v>0</v>
      </c>
      <c r="Q446" s="24" t="str">
        <f>IF(F446="Barrido",O446,"")</f>
        <v/>
      </c>
      <c r="R446" s="24">
        <f>IF(I446&lt;&gt;"0",I446,"")</f>
        <v>0</v>
      </c>
      <c r="S446" s="22">
        <f>IF(J446&lt;&gt;"0",J446,"")</f>
        <v>0</v>
      </c>
      <c r="T446" s="23"/>
      <c r="U446" s="23"/>
      <c r="V446" s="23"/>
      <c r="W446" s="23"/>
      <c r="X446" s="23"/>
    </row>
    <row r="447" spans="1:24" x14ac:dyDescent="0.2">
      <c r="A447" s="18"/>
      <c r="B447" s="19" t="str">
        <f>IF(A447="","",VLOOKUP(Planilla!A447,#REF!,2,FALSE))</f>
        <v/>
      </c>
      <c r="C447" s="19" t="str">
        <f>IF(B447="","",VLOOKUP(Planilla!A447,#REF!,3,FALSE))</f>
        <v/>
      </c>
      <c r="D447" s="20"/>
      <c r="E447" s="21"/>
      <c r="F447" s="21"/>
      <c r="G447" s="21"/>
      <c r="H447" s="21"/>
      <c r="I447" s="36"/>
      <c r="J447" s="36"/>
      <c r="K447" s="21"/>
      <c r="L447" s="21"/>
      <c r="M447" s="24">
        <f>IF(K447="",0,VLOOKUP(K447,#REF!,2,FALSE))</f>
        <v>0</v>
      </c>
      <c r="N447" s="24">
        <f>IF(L447="",0,VLOOKUP(L447,#REF!,2,FALSE))</f>
        <v>0</v>
      </c>
      <c r="O447" s="24">
        <f t="shared" si="11"/>
        <v>0</v>
      </c>
      <c r="P447" s="24">
        <f>IF(F447="Barrido","",O447)</f>
        <v>0</v>
      </c>
      <c r="Q447" s="24" t="str">
        <f>IF(F447="Barrido",O447,"")</f>
        <v/>
      </c>
      <c r="R447" s="24">
        <f>IF(I447&lt;&gt;"0",I447,"")</f>
        <v>0</v>
      </c>
      <c r="S447" s="22">
        <f>IF(J447&lt;&gt;"0",J447,"")</f>
        <v>0</v>
      </c>
      <c r="T447" s="23"/>
      <c r="U447" s="23"/>
      <c r="V447" s="23"/>
      <c r="W447" s="23"/>
      <c r="X447" s="23"/>
    </row>
    <row r="448" spans="1:24" x14ac:dyDescent="0.2">
      <c r="A448" s="18"/>
      <c r="B448" s="19" t="str">
        <f>IF(A448="","",VLOOKUP(Planilla!A448,#REF!,2,FALSE))</f>
        <v/>
      </c>
      <c r="C448" s="19" t="str">
        <f>IF(B448="","",VLOOKUP(Planilla!A448,#REF!,3,FALSE))</f>
        <v/>
      </c>
      <c r="D448" s="20"/>
      <c r="E448" s="21"/>
      <c r="F448" s="21"/>
      <c r="G448" s="21"/>
      <c r="H448" s="21"/>
      <c r="I448" s="36"/>
      <c r="J448" s="36"/>
      <c r="K448" s="21"/>
      <c r="L448" s="21"/>
      <c r="M448" s="24">
        <f>IF(K448="",0,VLOOKUP(K448,#REF!,2,FALSE))</f>
        <v>0</v>
      </c>
      <c r="N448" s="24">
        <f>IF(L448="",0,VLOOKUP(L448,#REF!,2,FALSE))</f>
        <v>0</v>
      </c>
      <c r="O448" s="24">
        <f t="shared" si="11"/>
        <v>0</v>
      </c>
      <c r="P448" s="24">
        <f>IF(F448="Barrido","",O448)</f>
        <v>0</v>
      </c>
      <c r="Q448" s="24" t="str">
        <f>IF(F448="Barrido",O448,"")</f>
        <v/>
      </c>
      <c r="R448" s="24">
        <f>IF(I448&lt;&gt;"0",I448,"")</f>
        <v>0</v>
      </c>
      <c r="S448" s="22">
        <f>IF(J448&lt;&gt;"0",J448,"")</f>
        <v>0</v>
      </c>
      <c r="T448" s="23"/>
      <c r="U448" s="23"/>
      <c r="V448" s="23"/>
      <c r="W448" s="23"/>
      <c r="X448" s="23"/>
    </row>
    <row r="449" spans="1:24" x14ac:dyDescent="0.2">
      <c r="A449" s="18"/>
      <c r="B449" s="19" t="str">
        <f>IF(A449="","",VLOOKUP(Planilla!A449,#REF!,2,FALSE))</f>
        <v/>
      </c>
      <c r="C449" s="19" t="str">
        <f>IF(B449="","",VLOOKUP(Planilla!A449,#REF!,3,FALSE))</f>
        <v/>
      </c>
      <c r="D449" s="20"/>
      <c r="E449" s="21"/>
      <c r="F449" s="21"/>
      <c r="G449" s="21"/>
      <c r="H449" s="21"/>
      <c r="I449" s="36"/>
      <c r="J449" s="36"/>
      <c r="K449" s="21"/>
      <c r="L449" s="21"/>
      <c r="M449" s="24">
        <f>IF(K449="",0,VLOOKUP(K449,#REF!,2,FALSE))</f>
        <v>0</v>
      </c>
      <c r="N449" s="24">
        <f>IF(L449="",0,VLOOKUP(L449,#REF!,2,FALSE))</f>
        <v>0</v>
      </c>
      <c r="O449" s="24">
        <f t="shared" si="11"/>
        <v>0</v>
      </c>
      <c r="P449" s="24">
        <f>IF(F449="Barrido","",O449)</f>
        <v>0</v>
      </c>
      <c r="Q449" s="24" t="str">
        <f>IF(F449="Barrido",O449,"")</f>
        <v/>
      </c>
      <c r="R449" s="24">
        <f>IF(I449&lt;&gt;"0",I449,"")</f>
        <v>0</v>
      </c>
      <c r="S449" s="22">
        <f>IF(J449&lt;&gt;"0",J449,"")</f>
        <v>0</v>
      </c>
      <c r="T449" s="23"/>
      <c r="U449" s="23"/>
      <c r="V449" s="23"/>
      <c r="W449" s="23"/>
      <c r="X449" s="23"/>
    </row>
    <row r="450" spans="1:24" x14ac:dyDescent="0.2">
      <c r="A450" s="18"/>
      <c r="B450" s="19" t="str">
        <f>IF(A450="","",VLOOKUP(Planilla!A450,#REF!,2,FALSE))</f>
        <v/>
      </c>
      <c r="C450" s="19" t="str">
        <f>IF(B450="","",VLOOKUP(Planilla!A450,#REF!,3,FALSE))</f>
        <v/>
      </c>
      <c r="D450" s="20"/>
      <c r="E450" s="21"/>
      <c r="F450" s="21"/>
      <c r="G450" s="21"/>
      <c r="H450" s="21"/>
      <c r="I450" s="36"/>
      <c r="J450" s="36"/>
      <c r="K450" s="21"/>
      <c r="L450" s="21"/>
      <c r="M450" s="24">
        <f>IF(K450="",0,VLOOKUP(K450,#REF!,2,FALSE))</f>
        <v>0</v>
      </c>
      <c r="N450" s="24">
        <f>IF(L450="",0,VLOOKUP(L450,#REF!,2,FALSE))</f>
        <v>0</v>
      </c>
      <c r="O450" s="24">
        <f t="shared" si="11"/>
        <v>0</v>
      </c>
      <c r="P450" s="24">
        <f>IF(F450="Barrido","",O450)</f>
        <v>0</v>
      </c>
      <c r="Q450" s="24" t="str">
        <f>IF(F450="Barrido",O450,"")</f>
        <v/>
      </c>
      <c r="R450" s="24">
        <f>IF(I450&lt;&gt;"0",I450,"")</f>
        <v>0</v>
      </c>
      <c r="S450" s="22">
        <f>IF(J450&lt;&gt;"0",J450,"")</f>
        <v>0</v>
      </c>
      <c r="T450" s="23"/>
      <c r="U450" s="23"/>
      <c r="V450" s="23"/>
      <c r="W450" s="23"/>
      <c r="X450" s="23"/>
    </row>
    <row r="451" spans="1:24" x14ac:dyDescent="0.2">
      <c r="A451" s="18"/>
      <c r="B451" s="19" t="str">
        <f>IF(A451="","",VLOOKUP(Planilla!A451,#REF!,2,FALSE))</f>
        <v/>
      </c>
      <c r="C451" s="19" t="str">
        <f>IF(B451="","",VLOOKUP(Planilla!A451,#REF!,3,FALSE))</f>
        <v/>
      </c>
      <c r="D451" s="20"/>
      <c r="E451" s="21"/>
      <c r="F451" s="21"/>
      <c r="G451" s="21"/>
      <c r="H451" s="21"/>
      <c r="I451" s="36"/>
      <c r="J451" s="36"/>
      <c r="K451" s="21"/>
      <c r="L451" s="21"/>
      <c r="M451" s="24">
        <f>IF(K451="",0,VLOOKUP(K451,#REF!,2,FALSE))</f>
        <v>0</v>
      </c>
      <c r="N451" s="24">
        <f>IF(L451="",0,VLOOKUP(L451,#REF!,2,FALSE))</f>
        <v>0</v>
      </c>
      <c r="O451" s="24">
        <f t="shared" si="11"/>
        <v>0</v>
      </c>
      <c r="P451" s="24">
        <f>IF(F451="Barrido","",O451)</f>
        <v>0</v>
      </c>
      <c r="Q451" s="24" t="str">
        <f>IF(F451="Barrido",O451,"")</f>
        <v/>
      </c>
      <c r="R451" s="24">
        <f>IF(I451&lt;&gt;"0",I451,"")</f>
        <v>0</v>
      </c>
      <c r="S451" s="22">
        <f>IF(J451&lt;&gt;"0",J451,"")</f>
        <v>0</v>
      </c>
      <c r="T451" s="23"/>
      <c r="U451" s="23"/>
      <c r="V451" s="23"/>
      <c r="W451" s="23"/>
      <c r="X451" s="23"/>
    </row>
    <row r="452" spans="1:24" x14ac:dyDescent="0.2">
      <c r="A452" s="18"/>
      <c r="B452" s="19" t="str">
        <f>IF(A452="","",VLOOKUP(Planilla!A452,#REF!,2,FALSE))</f>
        <v/>
      </c>
      <c r="C452" s="19" t="str">
        <f>IF(B452="","",VLOOKUP(Planilla!A452,#REF!,3,FALSE))</f>
        <v/>
      </c>
      <c r="D452" s="20"/>
      <c r="E452" s="21"/>
      <c r="F452" s="21"/>
      <c r="G452" s="21"/>
      <c r="H452" s="21"/>
      <c r="I452" s="36"/>
      <c r="J452" s="36"/>
      <c r="K452" s="21"/>
      <c r="L452" s="21"/>
      <c r="M452" s="24">
        <f>IF(K452="",0,VLOOKUP(K452,#REF!,2,FALSE))</f>
        <v>0</v>
      </c>
      <c r="N452" s="24">
        <f>IF(L452="",0,VLOOKUP(L452,#REF!,2,FALSE))</f>
        <v>0</v>
      </c>
      <c r="O452" s="24">
        <f t="shared" si="11"/>
        <v>0</v>
      </c>
      <c r="P452" s="24">
        <f>IF(F452="Barrido","",O452)</f>
        <v>0</v>
      </c>
      <c r="Q452" s="24" t="str">
        <f>IF(F452="Barrido",O452,"")</f>
        <v/>
      </c>
      <c r="R452" s="24">
        <f>IF(I452&lt;&gt;"0",I452,"")</f>
        <v>0</v>
      </c>
      <c r="S452" s="22">
        <f>IF(J452&lt;&gt;"0",J452,"")</f>
        <v>0</v>
      </c>
      <c r="T452" s="23"/>
      <c r="U452" s="23"/>
      <c r="V452" s="23"/>
      <c r="W452" s="23"/>
      <c r="X452" s="23"/>
    </row>
    <row r="453" spans="1:24" x14ac:dyDescent="0.2">
      <c r="A453" s="18"/>
      <c r="B453" s="19" t="str">
        <f>IF(A453="","",VLOOKUP(Planilla!A453,#REF!,2,FALSE))</f>
        <v/>
      </c>
      <c r="C453" s="19" t="str">
        <f>IF(B453="","",VLOOKUP(Planilla!A453,#REF!,3,FALSE))</f>
        <v/>
      </c>
      <c r="D453" s="20"/>
      <c r="E453" s="21"/>
      <c r="F453" s="21"/>
      <c r="G453" s="21"/>
      <c r="H453" s="21"/>
      <c r="I453" s="36"/>
      <c r="J453" s="36"/>
      <c r="K453" s="21"/>
      <c r="L453" s="21"/>
      <c r="M453" s="24">
        <f>IF(K453="",0,VLOOKUP(K453,#REF!,2,FALSE))</f>
        <v>0</v>
      </c>
      <c r="N453" s="24">
        <f>IF(L453="",0,VLOOKUP(L453,#REF!,2,FALSE))</f>
        <v>0</v>
      </c>
      <c r="O453" s="24">
        <f t="shared" si="11"/>
        <v>0</v>
      </c>
      <c r="P453" s="24">
        <f>IF(F453="Barrido","",O453)</f>
        <v>0</v>
      </c>
      <c r="Q453" s="24" t="str">
        <f>IF(F453="Barrido",O453,"")</f>
        <v/>
      </c>
      <c r="R453" s="24">
        <f>IF(I453&lt;&gt;"0",I453,"")</f>
        <v>0</v>
      </c>
      <c r="S453" s="22">
        <f>IF(J453&lt;&gt;"0",J453,"")</f>
        <v>0</v>
      </c>
      <c r="T453" s="23"/>
      <c r="U453" s="23"/>
      <c r="V453" s="23"/>
      <c r="W453" s="23"/>
      <c r="X453" s="23"/>
    </row>
    <row r="454" spans="1:24" x14ac:dyDescent="0.2">
      <c r="A454" s="18"/>
      <c r="B454" s="19" t="str">
        <f>IF(A454="","",VLOOKUP(Planilla!A454,#REF!,2,FALSE))</f>
        <v/>
      </c>
      <c r="C454" s="19" t="str">
        <f>IF(B454="","",VLOOKUP(Planilla!A454,#REF!,3,FALSE))</f>
        <v/>
      </c>
      <c r="D454" s="20"/>
      <c r="E454" s="21"/>
      <c r="F454" s="21"/>
      <c r="G454" s="21"/>
      <c r="H454" s="21"/>
      <c r="I454" s="36"/>
      <c r="J454" s="36"/>
      <c r="K454" s="21"/>
      <c r="L454" s="21"/>
      <c r="M454" s="24">
        <f>IF(K454="",0,VLOOKUP(K454,#REF!,2,FALSE))</f>
        <v>0</v>
      </c>
      <c r="N454" s="24">
        <f>IF(L454="",0,VLOOKUP(L454,#REF!,2,FALSE))</f>
        <v>0</v>
      </c>
      <c r="O454" s="24">
        <f t="shared" si="11"/>
        <v>0</v>
      </c>
      <c r="P454" s="24">
        <f>IF(F454="Barrido","",O454)</f>
        <v>0</v>
      </c>
      <c r="Q454" s="24" t="str">
        <f>IF(F454="Barrido",O454,"")</f>
        <v/>
      </c>
      <c r="R454" s="24">
        <f>IF(I454&lt;&gt;"0",I454,"")</f>
        <v>0</v>
      </c>
      <c r="S454" s="22">
        <f>IF(J454&lt;&gt;"0",J454,"")</f>
        <v>0</v>
      </c>
      <c r="T454" s="23"/>
      <c r="U454" s="23"/>
      <c r="V454" s="23"/>
      <c r="W454" s="23"/>
      <c r="X454" s="23"/>
    </row>
    <row r="455" spans="1:24" x14ac:dyDescent="0.2">
      <c r="A455" s="18"/>
      <c r="B455" s="19" t="str">
        <f>IF(A455="","",VLOOKUP(Planilla!A455,#REF!,2,FALSE))</f>
        <v/>
      </c>
      <c r="C455" s="19" t="str">
        <f>IF(B455="","",VLOOKUP(Planilla!A455,#REF!,3,FALSE))</f>
        <v/>
      </c>
      <c r="D455" s="20"/>
      <c r="E455" s="21"/>
      <c r="F455" s="21"/>
      <c r="G455" s="21"/>
      <c r="H455" s="21"/>
      <c r="I455" s="36"/>
      <c r="J455" s="36"/>
      <c r="K455" s="21"/>
      <c r="L455" s="21"/>
      <c r="M455" s="24">
        <f>IF(K455="",0,VLOOKUP(K455,#REF!,2,FALSE))</f>
        <v>0</v>
      </c>
      <c r="N455" s="24">
        <f>IF(L455="",0,VLOOKUP(L455,#REF!,2,FALSE))</f>
        <v>0</v>
      </c>
      <c r="O455" s="24">
        <f t="shared" si="11"/>
        <v>0</v>
      </c>
      <c r="P455" s="24">
        <f>IF(F455="Barrido","",O455)</f>
        <v>0</v>
      </c>
      <c r="Q455" s="24" t="str">
        <f>IF(F455="Barrido",O455,"")</f>
        <v/>
      </c>
      <c r="R455" s="24">
        <f>IF(I455&lt;&gt;"0",I455,"")</f>
        <v>0</v>
      </c>
      <c r="S455" s="22">
        <f>IF(J455&lt;&gt;"0",J455,"")</f>
        <v>0</v>
      </c>
      <c r="T455" s="23"/>
      <c r="U455" s="23"/>
      <c r="V455" s="23"/>
      <c r="W455" s="23"/>
      <c r="X455" s="23"/>
    </row>
    <row r="456" spans="1:24" x14ac:dyDescent="0.2">
      <c r="A456" s="18"/>
      <c r="B456" s="19" t="str">
        <f>IF(A456="","",VLOOKUP(Planilla!A456,#REF!,2,FALSE))</f>
        <v/>
      </c>
      <c r="C456" s="19" t="str">
        <f>IF(B456="","",VLOOKUP(Planilla!A456,#REF!,3,FALSE))</f>
        <v/>
      </c>
      <c r="D456" s="20"/>
      <c r="E456" s="21"/>
      <c r="F456" s="21"/>
      <c r="G456" s="21"/>
      <c r="H456" s="21"/>
      <c r="I456" s="36"/>
      <c r="J456" s="36"/>
      <c r="K456" s="21"/>
      <c r="L456" s="21"/>
      <c r="M456" s="24">
        <f>IF(K456="",0,VLOOKUP(K456,#REF!,2,FALSE))</f>
        <v>0</v>
      </c>
      <c r="N456" s="24">
        <f>IF(L456="",0,VLOOKUP(L456,#REF!,2,FALSE))</f>
        <v>0</v>
      </c>
      <c r="O456" s="24">
        <f t="shared" si="11"/>
        <v>0</v>
      </c>
      <c r="P456" s="24">
        <f>IF(F456="Barrido","",O456)</f>
        <v>0</v>
      </c>
      <c r="Q456" s="24" t="str">
        <f>IF(F456="Barrido",O456,"")</f>
        <v/>
      </c>
      <c r="R456" s="24">
        <f>IF(I456&lt;&gt;"0",I456,"")</f>
        <v>0</v>
      </c>
      <c r="S456" s="22">
        <f>IF(J456&lt;&gt;"0",J456,"")</f>
        <v>0</v>
      </c>
      <c r="T456" s="23"/>
      <c r="U456" s="23"/>
      <c r="V456" s="23"/>
      <c r="W456" s="23"/>
      <c r="X456" s="23"/>
    </row>
    <row r="457" spans="1:24" x14ac:dyDescent="0.2">
      <c r="A457" s="18"/>
      <c r="B457" s="19" t="str">
        <f>IF(A457="","",VLOOKUP(Planilla!A457,#REF!,2,FALSE))</f>
        <v/>
      </c>
      <c r="C457" s="19" t="str">
        <f>IF(B457="","",VLOOKUP(Planilla!A457,#REF!,3,FALSE))</f>
        <v/>
      </c>
      <c r="D457" s="20"/>
      <c r="E457" s="21"/>
      <c r="F457" s="21"/>
      <c r="G457" s="21"/>
      <c r="H457" s="21"/>
      <c r="I457" s="36"/>
      <c r="J457" s="36"/>
      <c r="K457" s="21"/>
      <c r="L457" s="21"/>
      <c r="M457" s="24">
        <f>IF(K457="",0,VLOOKUP(K457,#REF!,2,FALSE))</f>
        <v>0</v>
      </c>
      <c r="N457" s="24">
        <f>IF(L457="",0,VLOOKUP(L457,#REF!,2,FALSE))</f>
        <v>0</v>
      </c>
      <c r="O457" s="24">
        <f t="shared" si="11"/>
        <v>0</v>
      </c>
      <c r="P457" s="24">
        <f>IF(F457="Barrido","",O457)</f>
        <v>0</v>
      </c>
      <c r="Q457" s="24" t="str">
        <f>IF(F457="Barrido",O457,"")</f>
        <v/>
      </c>
      <c r="R457" s="24">
        <f>IF(I457&lt;&gt;"0",I457,"")</f>
        <v>0</v>
      </c>
      <c r="S457" s="22">
        <f>IF(J457&lt;&gt;"0",J457,"")</f>
        <v>0</v>
      </c>
      <c r="T457" s="23"/>
      <c r="U457" s="23"/>
      <c r="V457" s="23"/>
      <c r="W457" s="23"/>
      <c r="X457" s="23"/>
    </row>
    <row r="458" spans="1:24" x14ac:dyDescent="0.2">
      <c r="A458" s="18"/>
      <c r="B458" s="19" t="str">
        <f>IF(A458="","",VLOOKUP(Planilla!A458,#REF!,2,FALSE))</f>
        <v/>
      </c>
      <c r="C458" s="19" t="str">
        <f>IF(B458="","",VLOOKUP(Planilla!A458,#REF!,3,FALSE))</f>
        <v/>
      </c>
      <c r="D458" s="20"/>
      <c r="E458" s="21"/>
      <c r="F458" s="21"/>
      <c r="G458" s="21"/>
      <c r="H458" s="21"/>
      <c r="I458" s="36"/>
      <c r="J458" s="36"/>
      <c r="K458" s="21"/>
      <c r="L458" s="21"/>
      <c r="M458" s="24">
        <f>IF(K458="",0,VLOOKUP(K458,#REF!,2,FALSE))</f>
        <v>0</v>
      </c>
      <c r="N458" s="24">
        <f>IF(L458="",0,VLOOKUP(L458,#REF!,2,FALSE))</f>
        <v>0</v>
      </c>
      <c r="O458" s="24">
        <f t="shared" si="11"/>
        <v>0</v>
      </c>
      <c r="P458" s="24">
        <f>IF(F458="Barrido","",O458)</f>
        <v>0</v>
      </c>
      <c r="Q458" s="24" t="str">
        <f>IF(F458="Barrido",O458,"")</f>
        <v/>
      </c>
      <c r="R458" s="24">
        <f>IF(I458&lt;&gt;"0",I458,"")</f>
        <v>0</v>
      </c>
      <c r="S458" s="22">
        <f>IF(J458&lt;&gt;"0",J458,"")</f>
        <v>0</v>
      </c>
      <c r="T458" s="23"/>
      <c r="U458" s="23"/>
      <c r="V458" s="23"/>
      <c r="W458" s="23"/>
      <c r="X458" s="23"/>
    </row>
    <row r="459" spans="1:24" x14ac:dyDescent="0.2">
      <c r="A459" s="18"/>
      <c r="B459" s="19" t="str">
        <f>IF(A459="","",VLOOKUP(Planilla!A459,#REF!,2,FALSE))</f>
        <v/>
      </c>
      <c r="C459" s="19" t="str">
        <f>IF(B459="","",VLOOKUP(Planilla!A459,#REF!,3,FALSE))</f>
        <v/>
      </c>
      <c r="D459" s="20"/>
      <c r="E459" s="21"/>
      <c r="F459" s="21"/>
      <c r="G459" s="21"/>
      <c r="H459" s="21"/>
      <c r="I459" s="36"/>
      <c r="J459" s="36"/>
      <c r="K459" s="21"/>
      <c r="L459" s="21"/>
      <c r="M459" s="24">
        <f>IF(K459="",0,VLOOKUP(K459,#REF!,2,FALSE))</f>
        <v>0</v>
      </c>
      <c r="N459" s="24">
        <f>IF(L459="",0,VLOOKUP(L459,#REF!,2,FALSE))</f>
        <v>0</v>
      </c>
      <c r="O459" s="24">
        <f t="shared" si="11"/>
        <v>0</v>
      </c>
      <c r="P459" s="24">
        <f>IF(F459="Barrido","",O459)</f>
        <v>0</v>
      </c>
      <c r="Q459" s="24" t="str">
        <f>IF(F459="Barrido",O459,"")</f>
        <v/>
      </c>
      <c r="R459" s="24">
        <f>IF(I459&lt;&gt;"0",I459,"")</f>
        <v>0</v>
      </c>
      <c r="S459" s="22">
        <f>IF(J459&lt;&gt;"0",J459,"")</f>
        <v>0</v>
      </c>
      <c r="T459" s="23"/>
      <c r="U459" s="23"/>
      <c r="V459" s="23"/>
      <c r="W459" s="23"/>
      <c r="X459" s="23"/>
    </row>
    <row r="460" spans="1:24" x14ac:dyDescent="0.2">
      <c r="A460" s="18"/>
      <c r="B460" s="19" t="str">
        <f>IF(A460="","",VLOOKUP(Planilla!A460,#REF!,2,FALSE))</f>
        <v/>
      </c>
      <c r="C460" s="19" t="str">
        <f>IF(B460="","",VLOOKUP(Planilla!A460,#REF!,3,FALSE))</f>
        <v/>
      </c>
      <c r="D460" s="20"/>
      <c r="E460" s="21"/>
      <c r="F460" s="21"/>
      <c r="G460" s="21"/>
      <c r="H460" s="21"/>
      <c r="I460" s="36"/>
      <c r="J460" s="36"/>
      <c r="K460" s="21"/>
      <c r="L460" s="21"/>
      <c r="M460" s="24">
        <f>IF(K460="",0,VLOOKUP(K460,#REF!,2,FALSE))</f>
        <v>0</v>
      </c>
      <c r="N460" s="24">
        <f>IF(L460="",0,VLOOKUP(L460,#REF!,2,FALSE))</f>
        <v>0</v>
      </c>
      <c r="O460" s="24">
        <f t="shared" si="11"/>
        <v>0</v>
      </c>
      <c r="P460" s="24">
        <f>IF(F460="Barrido","",O460)</f>
        <v>0</v>
      </c>
      <c r="Q460" s="24" t="str">
        <f>IF(F460="Barrido",O460,"")</f>
        <v/>
      </c>
      <c r="R460" s="24">
        <f>IF(I460&lt;&gt;"0",I460,"")</f>
        <v>0</v>
      </c>
      <c r="S460" s="22">
        <f>IF(J460&lt;&gt;"0",J460,"")</f>
        <v>0</v>
      </c>
      <c r="T460" s="23"/>
      <c r="U460" s="23"/>
      <c r="V460" s="23"/>
      <c r="W460" s="23"/>
      <c r="X460" s="23"/>
    </row>
    <row r="461" spans="1:24" x14ac:dyDescent="0.2">
      <c r="A461" s="18"/>
      <c r="B461" s="19" t="str">
        <f>IF(A461="","",VLOOKUP(Planilla!A461,#REF!,2,FALSE))</f>
        <v/>
      </c>
      <c r="C461" s="19" t="str">
        <f>IF(B461="","",VLOOKUP(Planilla!A461,#REF!,3,FALSE))</f>
        <v/>
      </c>
      <c r="D461" s="20"/>
      <c r="E461" s="21"/>
      <c r="F461" s="21"/>
      <c r="G461" s="21"/>
      <c r="H461" s="21"/>
      <c r="I461" s="36"/>
      <c r="J461" s="36"/>
      <c r="K461" s="21"/>
      <c r="L461" s="21"/>
      <c r="M461" s="24">
        <f>IF(K461="",0,VLOOKUP(K461,#REF!,2,FALSE))</f>
        <v>0</v>
      </c>
      <c r="N461" s="24">
        <f>IF(L461="",0,VLOOKUP(L461,#REF!,2,FALSE))</f>
        <v>0</v>
      </c>
      <c r="O461" s="24">
        <f t="shared" si="11"/>
        <v>0</v>
      </c>
      <c r="P461" s="24">
        <f>IF(F461="Barrido","",O461)</f>
        <v>0</v>
      </c>
      <c r="Q461" s="24" t="str">
        <f>IF(F461="Barrido",O461,"")</f>
        <v/>
      </c>
      <c r="R461" s="24">
        <f>IF(I461&lt;&gt;"0",I461,"")</f>
        <v>0</v>
      </c>
      <c r="S461" s="22">
        <f>IF(J461&lt;&gt;"0",J461,"")</f>
        <v>0</v>
      </c>
      <c r="T461" s="23"/>
      <c r="U461" s="23"/>
      <c r="V461" s="23"/>
      <c r="W461" s="23"/>
      <c r="X461" s="23"/>
    </row>
    <row r="462" spans="1:24" x14ac:dyDescent="0.2">
      <c r="A462" s="18"/>
      <c r="B462" s="19" t="str">
        <f>IF(A462="","",VLOOKUP(Planilla!A462,#REF!,2,FALSE))</f>
        <v/>
      </c>
      <c r="C462" s="19" t="str">
        <f>IF(B462="","",VLOOKUP(Planilla!A462,#REF!,3,FALSE))</f>
        <v/>
      </c>
      <c r="D462" s="20"/>
      <c r="E462" s="21"/>
      <c r="F462" s="21"/>
      <c r="G462" s="21"/>
      <c r="H462" s="21"/>
      <c r="I462" s="36"/>
      <c r="J462" s="36"/>
      <c r="K462" s="21"/>
      <c r="L462" s="21"/>
      <c r="M462" s="24">
        <f>IF(K462="",0,VLOOKUP(K462,#REF!,2,FALSE))</f>
        <v>0</v>
      </c>
      <c r="N462" s="24">
        <f>IF(L462="",0,VLOOKUP(L462,#REF!,2,FALSE))</f>
        <v>0</v>
      </c>
      <c r="O462" s="24">
        <f t="shared" si="11"/>
        <v>0</v>
      </c>
      <c r="P462" s="24">
        <f>IF(F462="Barrido","",O462)</f>
        <v>0</v>
      </c>
      <c r="Q462" s="24" t="str">
        <f>IF(F462="Barrido",O462,"")</f>
        <v/>
      </c>
      <c r="R462" s="24">
        <f>IF(I462&lt;&gt;"0",I462,"")</f>
        <v>0</v>
      </c>
      <c r="S462" s="22">
        <f>IF(J462&lt;&gt;"0",J462,"")</f>
        <v>0</v>
      </c>
      <c r="T462" s="23"/>
      <c r="U462" s="23"/>
      <c r="V462" s="23"/>
      <c r="W462" s="23"/>
      <c r="X462" s="23"/>
    </row>
    <row r="463" spans="1:24" x14ac:dyDescent="0.2">
      <c r="A463" s="18"/>
      <c r="B463" s="19" t="str">
        <f>IF(A463="","",VLOOKUP(Planilla!A463,#REF!,2,FALSE))</f>
        <v/>
      </c>
      <c r="C463" s="19" t="str">
        <f>IF(B463="","",VLOOKUP(Planilla!A463,#REF!,3,FALSE))</f>
        <v/>
      </c>
      <c r="D463" s="20"/>
      <c r="E463" s="21"/>
      <c r="F463" s="21"/>
      <c r="G463" s="21"/>
      <c r="H463" s="21"/>
      <c r="I463" s="36"/>
      <c r="J463" s="36"/>
      <c r="K463" s="21"/>
      <c r="L463" s="21"/>
      <c r="M463" s="24">
        <f>IF(K463="",0,VLOOKUP(K463,#REF!,2,FALSE))</f>
        <v>0</v>
      </c>
      <c r="N463" s="24">
        <f>IF(L463="",0,VLOOKUP(L463,#REF!,2,FALSE))</f>
        <v>0</v>
      </c>
      <c r="O463" s="24">
        <f t="shared" ref="O463:O503" si="12">M463+N463</f>
        <v>0</v>
      </c>
      <c r="P463" s="24">
        <f>IF(F463="Barrido","",O463)</f>
        <v>0</v>
      </c>
      <c r="Q463" s="24" t="str">
        <f>IF(F463="Barrido",O463,"")</f>
        <v/>
      </c>
      <c r="R463" s="24">
        <f t="shared" ref="R463:R503" si="13">IF(I463&lt;&gt;"0",I463,"")</f>
        <v>0</v>
      </c>
      <c r="S463" s="22">
        <f t="shared" ref="S463:S503" si="14">IF(J463&lt;&gt;"0",J463,"")</f>
        <v>0</v>
      </c>
      <c r="T463" s="23"/>
      <c r="U463" s="23"/>
      <c r="V463" s="23"/>
      <c r="W463" s="23"/>
      <c r="X463" s="23"/>
    </row>
    <row r="464" spans="1:24" x14ac:dyDescent="0.2">
      <c r="A464" s="18"/>
      <c r="B464" s="19" t="str">
        <f>IF(A464="","",VLOOKUP(Planilla!A464,#REF!,2,FALSE))</f>
        <v/>
      </c>
      <c r="C464" s="19" t="str">
        <f>IF(B464="","",VLOOKUP(Planilla!A464,#REF!,3,FALSE))</f>
        <v/>
      </c>
      <c r="D464" s="20"/>
      <c r="E464" s="21"/>
      <c r="F464" s="21"/>
      <c r="G464" s="21"/>
      <c r="H464" s="21"/>
      <c r="I464" s="36"/>
      <c r="J464" s="36"/>
      <c r="K464" s="21"/>
      <c r="L464" s="21"/>
      <c r="M464" s="24">
        <f>IF(K464="",0,VLOOKUP(K464,#REF!,2,FALSE))</f>
        <v>0</v>
      </c>
      <c r="N464" s="24">
        <f>IF(L464="",0,VLOOKUP(L464,#REF!,2,FALSE))</f>
        <v>0</v>
      </c>
      <c r="O464" s="24">
        <f t="shared" si="12"/>
        <v>0</v>
      </c>
      <c r="P464" s="24">
        <f>IF(F464="Barrido","",O464)</f>
        <v>0</v>
      </c>
      <c r="Q464" s="24" t="str">
        <f>IF(F464="Barrido",O464,"")</f>
        <v/>
      </c>
      <c r="R464" s="24">
        <f t="shared" si="13"/>
        <v>0</v>
      </c>
      <c r="S464" s="22">
        <f t="shared" si="14"/>
        <v>0</v>
      </c>
      <c r="T464" s="23"/>
      <c r="U464" s="23"/>
      <c r="V464" s="23"/>
      <c r="W464" s="23"/>
      <c r="X464" s="23"/>
    </row>
    <row r="465" spans="1:24" x14ac:dyDescent="0.2">
      <c r="A465" s="18"/>
      <c r="B465" s="19" t="str">
        <f>IF(A465="","",VLOOKUP(Planilla!A465,#REF!,2,FALSE))</f>
        <v/>
      </c>
      <c r="C465" s="19" t="str">
        <f>IF(B465="","",VLOOKUP(Planilla!A465,#REF!,3,FALSE))</f>
        <v/>
      </c>
      <c r="D465" s="20"/>
      <c r="E465" s="21"/>
      <c r="F465" s="21"/>
      <c r="G465" s="21"/>
      <c r="H465" s="21"/>
      <c r="I465" s="36"/>
      <c r="J465" s="36"/>
      <c r="K465" s="21"/>
      <c r="L465" s="21"/>
      <c r="M465" s="24">
        <f>IF(K465="",0,VLOOKUP(K465,#REF!,2,FALSE))</f>
        <v>0</v>
      </c>
      <c r="N465" s="24">
        <f>IF(L465="",0,VLOOKUP(L465,#REF!,2,FALSE))</f>
        <v>0</v>
      </c>
      <c r="O465" s="24">
        <f t="shared" si="12"/>
        <v>0</v>
      </c>
      <c r="P465" s="24">
        <f>IF(F465="Barrido","",O465)</f>
        <v>0</v>
      </c>
      <c r="Q465" s="24" t="str">
        <f>IF(F465="Barrido",O465,"")</f>
        <v/>
      </c>
      <c r="R465" s="24">
        <f t="shared" si="13"/>
        <v>0</v>
      </c>
      <c r="S465" s="22">
        <f t="shared" si="14"/>
        <v>0</v>
      </c>
      <c r="T465" s="23"/>
      <c r="U465" s="23"/>
      <c r="V465" s="23"/>
      <c r="W465" s="23"/>
      <c r="X465" s="23"/>
    </row>
    <row r="466" spans="1:24" x14ac:dyDescent="0.2">
      <c r="A466" s="18"/>
      <c r="B466" s="19" t="str">
        <f>IF(A466="","",VLOOKUP(Planilla!A466,#REF!,2,FALSE))</f>
        <v/>
      </c>
      <c r="C466" s="19" t="str">
        <f>IF(B466="","",VLOOKUP(Planilla!A466,#REF!,3,FALSE))</f>
        <v/>
      </c>
      <c r="D466" s="20"/>
      <c r="E466" s="21"/>
      <c r="F466" s="21"/>
      <c r="G466" s="21"/>
      <c r="H466" s="21"/>
      <c r="I466" s="36"/>
      <c r="J466" s="36"/>
      <c r="K466" s="21"/>
      <c r="L466" s="21"/>
      <c r="M466" s="24">
        <f>IF(K466="",0,VLOOKUP(K466,#REF!,2,FALSE))</f>
        <v>0</v>
      </c>
      <c r="N466" s="24">
        <f>IF(L466="",0,VLOOKUP(L466,#REF!,2,FALSE))</f>
        <v>0</v>
      </c>
      <c r="O466" s="24">
        <f t="shared" si="12"/>
        <v>0</v>
      </c>
      <c r="P466" s="24">
        <f>IF(F466="Barrido","",O466)</f>
        <v>0</v>
      </c>
      <c r="Q466" s="24" t="str">
        <f>IF(F466="Barrido",O466,"")</f>
        <v/>
      </c>
      <c r="R466" s="24">
        <f t="shared" si="13"/>
        <v>0</v>
      </c>
      <c r="S466" s="22">
        <f t="shared" si="14"/>
        <v>0</v>
      </c>
      <c r="T466" s="23"/>
      <c r="U466" s="23"/>
      <c r="V466" s="23"/>
      <c r="W466" s="23"/>
      <c r="X466" s="23"/>
    </row>
    <row r="467" spans="1:24" x14ac:dyDescent="0.2">
      <c r="A467" s="18"/>
      <c r="B467" s="19" t="str">
        <f>IF(A467="","",VLOOKUP(Planilla!A467,#REF!,2,FALSE))</f>
        <v/>
      </c>
      <c r="C467" s="19" t="str">
        <f>IF(B467="","",VLOOKUP(Planilla!A467,#REF!,3,FALSE))</f>
        <v/>
      </c>
      <c r="D467" s="20"/>
      <c r="E467" s="21"/>
      <c r="F467" s="21"/>
      <c r="G467" s="21"/>
      <c r="H467" s="21"/>
      <c r="I467" s="36"/>
      <c r="J467" s="36"/>
      <c r="K467" s="21"/>
      <c r="L467" s="21"/>
      <c r="M467" s="24">
        <f>IF(K467="",0,VLOOKUP(K467,#REF!,2,FALSE))</f>
        <v>0</v>
      </c>
      <c r="N467" s="24">
        <f>IF(L467="",0,VLOOKUP(L467,#REF!,2,FALSE))</f>
        <v>0</v>
      </c>
      <c r="O467" s="24">
        <f t="shared" si="12"/>
        <v>0</v>
      </c>
      <c r="P467" s="24">
        <f>IF(F467="Barrido","",O467)</f>
        <v>0</v>
      </c>
      <c r="Q467" s="24" t="str">
        <f>IF(F467="Barrido",O467,"")</f>
        <v/>
      </c>
      <c r="R467" s="24">
        <f t="shared" si="13"/>
        <v>0</v>
      </c>
      <c r="S467" s="22">
        <f t="shared" si="14"/>
        <v>0</v>
      </c>
      <c r="T467" s="23"/>
      <c r="U467" s="23"/>
      <c r="V467" s="23"/>
      <c r="W467" s="23"/>
      <c r="X467" s="23"/>
    </row>
    <row r="468" spans="1:24" x14ac:dyDescent="0.2">
      <c r="A468" s="18"/>
      <c r="B468" s="19" t="str">
        <f>IF(A468="","",VLOOKUP(Planilla!A468,#REF!,2,FALSE))</f>
        <v/>
      </c>
      <c r="C468" s="19" t="str">
        <f>IF(B468="","",VLOOKUP(Planilla!A468,#REF!,3,FALSE))</f>
        <v/>
      </c>
      <c r="D468" s="20"/>
      <c r="E468" s="21"/>
      <c r="F468" s="21"/>
      <c r="G468" s="21"/>
      <c r="H468" s="21"/>
      <c r="I468" s="36"/>
      <c r="J468" s="36"/>
      <c r="K468" s="21"/>
      <c r="L468" s="21"/>
      <c r="M468" s="24">
        <f>IF(K468="",0,VLOOKUP(K468,#REF!,2,FALSE))</f>
        <v>0</v>
      </c>
      <c r="N468" s="24">
        <f>IF(L468="",0,VLOOKUP(L468,#REF!,2,FALSE))</f>
        <v>0</v>
      </c>
      <c r="O468" s="24">
        <f t="shared" si="12"/>
        <v>0</v>
      </c>
      <c r="P468" s="24">
        <f>IF(F468="Barrido","",O468)</f>
        <v>0</v>
      </c>
      <c r="Q468" s="24" t="str">
        <f>IF(F468="Barrido",O468,"")</f>
        <v/>
      </c>
      <c r="R468" s="24">
        <f t="shared" si="13"/>
        <v>0</v>
      </c>
      <c r="S468" s="22">
        <f t="shared" si="14"/>
        <v>0</v>
      </c>
      <c r="T468" s="23"/>
      <c r="U468" s="23"/>
      <c r="V468" s="23"/>
      <c r="W468" s="23"/>
      <c r="X468" s="23"/>
    </row>
    <row r="469" spans="1:24" x14ac:dyDescent="0.2">
      <c r="A469" s="18"/>
      <c r="B469" s="19" t="str">
        <f>IF(A469="","",VLOOKUP(Planilla!A469,#REF!,2,FALSE))</f>
        <v/>
      </c>
      <c r="C469" s="19" t="str">
        <f>IF(B469="","",VLOOKUP(Planilla!A469,#REF!,3,FALSE))</f>
        <v/>
      </c>
      <c r="D469" s="20"/>
      <c r="E469" s="21"/>
      <c r="F469" s="21"/>
      <c r="G469" s="21"/>
      <c r="H469" s="21"/>
      <c r="I469" s="36"/>
      <c r="J469" s="36"/>
      <c r="K469" s="21"/>
      <c r="L469" s="21"/>
      <c r="M469" s="24">
        <f>IF(K469="",0,VLOOKUP(K469,#REF!,2,FALSE))</f>
        <v>0</v>
      </c>
      <c r="N469" s="24">
        <f>IF(L469="",0,VLOOKUP(L469,#REF!,2,FALSE))</f>
        <v>0</v>
      </c>
      <c r="O469" s="24">
        <f t="shared" si="12"/>
        <v>0</v>
      </c>
      <c r="P469" s="24">
        <f>IF(F469="Barrido","",O469)</f>
        <v>0</v>
      </c>
      <c r="Q469" s="24" t="str">
        <f>IF(F469="Barrido",O469,"")</f>
        <v/>
      </c>
      <c r="R469" s="24">
        <f t="shared" si="13"/>
        <v>0</v>
      </c>
      <c r="S469" s="22">
        <f t="shared" si="14"/>
        <v>0</v>
      </c>
      <c r="T469" s="23"/>
      <c r="U469" s="23"/>
      <c r="V469" s="23"/>
      <c r="W469" s="23"/>
      <c r="X469" s="23"/>
    </row>
    <row r="470" spans="1:24" x14ac:dyDescent="0.2">
      <c r="A470" s="18"/>
      <c r="B470" s="19" t="str">
        <f>IF(A470="","",VLOOKUP(Planilla!A470,#REF!,2,FALSE))</f>
        <v/>
      </c>
      <c r="C470" s="19" t="str">
        <f>IF(B470="","",VLOOKUP(Planilla!A470,#REF!,3,FALSE))</f>
        <v/>
      </c>
      <c r="D470" s="20"/>
      <c r="E470" s="21"/>
      <c r="F470" s="21"/>
      <c r="G470" s="21"/>
      <c r="H470" s="21"/>
      <c r="I470" s="36"/>
      <c r="J470" s="36"/>
      <c r="K470" s="21"/>
      <c r="L470" s="21"/>
      <c r="M470" s="24">
        <f>IF(K470="",0,VLOOKUP(K470,#REF!,2,FALSE))</f>
        <v>0</v>
      </c>
      <c r="N470" s="24">
        <f>IF(L470="",0,VLOOKUP(L470,#REF!,2,FALSE))</f>
        <v>0</v>
      </c>
      <c r="O470" s="24">
        <f t="shared" si="12"/>
        <v>0</v>
      </c>
      <c r="P470" s="24">
        <f>IF(F470="Barrido","",O470)</f>
        <v>0</v>
      </c>
      <c r="Q470" s="24" t="str">
        <f>IF(F470="Barrido",O470,"")</f>
        <v/>
      </c>
      <c r="R470" s="24">
        <f t="shared" si="13"/>
        <v>0</v>
      </c>
      <c r="S470" s="22">
        <f t="shared" si="14"/>
        <v>0</v>
      </c>
      <c r="T470" s="23"/>
      <c r="U470" s="23"/>
      <c r="V470" s="23"/>
      <c r="W470" s="23"/>
      <c r="X470" s="23"/>
    </row>
    <row r="471" spans="1:24" x14ac:dyDescent="0.2">
      <c r="A471" s="18"/>
      <c r="B471" s="19" t="str">
        <f>IF(A471="","",VLOOKUP(Planilla!A471,#REF!,2,FALSE))</f>
        <v/>
      </c>
      <c r="C471" s="19" t="str">
        <f>IF(B471="","",VLOOKUP(Planilla!A471,#REF!,3,FALSE))</f>
        <v/>
      </c>
      <c r="D471" s="20"/>
      <c r="E471" s="21"/>
      <c r="F471" s="21"/>
      <c r="G471" s="21"/>
      <c r="H471" s="21"/>
      <c r="I471" s="36"/>
      <c r="J471" s="36"/>
      <c r="K471" s="21"/>
      <c r="L471" s="21"/>
      <c r="M471" s="24">
        <f>IF(K471="",0,VLOOKUP(K471,#REF!,2,FALSE))</f>
        <v>0</v>
      </c>
      <c r="N471" s="24">
        <f>IF(L471="",0,VLOOKUP(L471,#REF!,2,FALSE))</f>
        <v>0</v>
      </c>
      <c r="O471" s="24">
        <f t="shared" si="12"/>
        <v>0</v>
      </c>
      <c r="P471" s="24">
        <f>IF(F471="Barrido","",O471)</f>
        <v>0</v>
      </c>
      <c r="Q471" s="24" t="str">
        <f>IF(F471="Barrido",O471,"")</f>
        <v/>
      </c>
      <c r="R471" s="24">
        <f t="shared" si="13"/>
        <v>0</v>
      </c>
      <c r="S471" s="22">
        <f t="shared" si="14"/>
        <v>0</v>
      </c>
      <c r="T471" s="23"/>
      <c r="U471" s="23"/>
      <c r="V471" s="23"/>
      <c r="W471" s="23"/>
      <c r="X471" s="23"/>
    </row>
    <row r="472" spans="1:24" x14ac:dyDescent="0.2">
      <c r="A472" s="18"/>
      <c r="B472" s="19" t="str">
        <f>IF(A472="","",VLOOKUP(Planilla!A472,#REF!,2,FALSE))</f>
        <v/>
      </c>
      <c r="C472" s="19" t="str">
        <f>IF(B472="","",VLOOKUP(Planilla!A472,#REF!,3,FALSE))</f>
        <v/>
      </c>
      <c r="D472" s="20"/>
      <c r="E472" s="21"/>
      <c r="F472" s="21"/>
      <c r="G472" s="21"/>
      <c r="H472" s="21"/>
      <c r="I472" s="36"/>
      <c r="J472" s="36"/>
      <c r="K472" s="21"/>
      <c r="L472" s="21"/>
      <c r="M472" s="24">
        <f>IF(K472="",0,VLOOKUP(K472,#REF!,2,FALSE))</f>
        <v>0</v>
      </c>
      <c r="N472" s="24">
        <f>IF(L472="",0,VLOOKUP(L472,#REF!,2,FALSE))</f>
        <v>0</v>
      </c>
      <c r="O472" s="24">
        <f t="shared" si="12"/>
        <v>0</v>
      </c>
      <c r="P472" s="24">
        <f>IF(F472="Barrido","",O472)</f>
        <v>0</v>
      </c>
      <c r="Q472" s="24" t="str">
        <f>IF(F472="Barrido",O472,"")</f>
        <v/>
      </c>
      <c r="R472" s="24">
        <f t="shared" si="13"/>
        <v>0</v>
      </c>
      <c r="S472" s="22">
        <f t="shared" si="14"/>
        <v>0</v>
      </c>
      <c r="T472" s="23"/>
      <c r="U472" s="23"/>
      <c r="V472" s="23"/>
      <c r="W472" s="23"/>
      <c r="X472" s="23"/>
    </row>
    <row r="473" spans="1:24" x14ac:dyDescent="0.2">
      <c r="A473" s="18"/>
      <c r="B473" s="19" t="str">
        <f>IF(A473="","",VLOOKUP(Planilla!A473,#REF!,2,FALSE))</f>
        <v/>
      </c>
      <c r="C473" s="19" t="str">
        <f>IF(B473="","",VLOOKUP(Planilla!A473,#REF!,3,FALSE))</f>
        <v/>
      </c>
      <c r="D473" s="20"/>
      <c r="E473" s="21"/>
      <c r="F473" s="21"/>
      <c r="G473" s="21"/>
      <c r="H473" s="21"/>
      <c r="I473" s="36"/>
      <c r="J473" s="36"/>
      <c r="K473" s="21"/>
      <c r="L473" s="21"/>
      <c r="M473" s="24">
        <f>IF(K473="",0,VLOOKUP(K473,#REF!,2,FALSE))</f>
        <v>0</v>
      </c>
      <c r="N473" s="24">
        <f>IF(L473="",0,VLOOKUP(L473,#REF!,2,FALSE))</f>
        <v>0</v>
      </c>
      <c r="O473" s="24">
        <f t="shared" si="12"/>
        <v>0</v>
      </c>
      <c r="P473" s="24">
        <f>IF(F473="Barrido","",O473)</f>
        <v>0</v>
      </c>
      <c r="Q473" s="24" t="str">
        <f>IF(F473="Barrido",O473,"")</f>
        <v/>
      </c>
      <c r="R473" s="24">
        <f t="shared" si="13"/>
        <v>0</v>
      </c>
      <c r="S473" s="22">
        <f t="shared" si="14"/>
        <v>0</v>
      </c>
      <c r="T473" s="23"/>
      <c r="U473" s="23"/>
      <c r="V473" s="23"/>
      <c r="W473" s="23"/>
      <c r="X473" s="23"/>
    </row>
    <row r="474" spans="1:24" x14ac:dyDescent="0.2">
      <c r="A474" s="18"/>
      <c r="B474" s="19" t="str">
        <f>IF(A474="","",VLOOKUP(Planilla!A474,#REF!,2,FALSE))</f>
        <v/>
      </c>
      <c r="C474" s="19" t="str">
        <f>IF(B474="","",VLOOKUP(Planilla!A474,#REF!,3,FALSE))</f>
        <v/>
      </c>
      <c r="D474" s="20"/>
      <c r="E474" s="21"/>
      <c r="F474" s="21"/>
      <c r="G474" s="21"/>
      <c r="H474" s="21"/>
      <c r="I474" s="36"/>
      <c r="J474" s="36"/>
      <c r="K474" s="21"/>
      <c r="L474" s="21"/>
      <c r="M474" s="24">
        <f>IF(K474="",0,VLOOKUP(K474,#REF!,2,FALSE))</f>
        <v>0</v>
      </c>
      <c r="N474" s="24">
        <f>IF(L474="",0,VLOOKUP(L474,#REF!,2,FALSE))</f>
        <v>0</v>
      </c>
      <c r="O474" s="24">
        <f t="shared" si="12"/>
        <v>0</v>
      </c>
      <c r="P474" s="24">
        <f>IF(F474="Barrido","",O474)</f>
        <v>0</v>
      </c>
      <c r="Q474" s="24" t="str">
        <f>IF(F474="Barrido",O474,"")</f>
        <v/>
      </c>
      <c r="R474" s="24">
        <f t="shared" si="13"/>
        <v>0</v>
      </c>
      <c r="S474" s="22">
        <f t="shared" si="14"/>
        <v>0</v>
      </c>
      <c r="T474" s="23"/>
      <c r="U474" s="23"/>
      <c r="V474" s="23"/>
      <c r="W474" s="23"/>
      <c r="X474" s="23"/>
    </row>
    <row r="475" spans="1:24" x14ac:dyDescent="0.2">
      <c r="A475" s="18"/>
      <c r="B475" s="19" t="str">
        <f>IF(A475="","",VLOOKUP(Planilla!A475,#REF!,2,FALSE))</f>
        <v/>
      </c>
      <c r="C475" s="19" t="str">
        <f>IF(B475="","",VLOOKUP(Planilla!A475,#REF!,3,FALSE))</f>
        <v/>
      </c>
      <c r="D475" s="20"/>
      <c r="E475" s="21"/>
      <c r="F475" s="21"/>
      <c r="G475" s="21"/>
      <c r="H475" s="21"/>
      <c r="I475" s="36"/>
      <c r="J475" s="36"/>
      <c r="K475" s="21"/>
      <c r="L475" s="21"/>
      <c r="M475" s="24">
        <f>IF(K475="",0,VLOOKUP(K475,#REF!,2,FALSE))</f>
        <v>0</v>
      </c>
      <c r="N475" s="24">
        <f>IF(L475="",0,VLOOKUP(L475,#REF!,2,FALSE))</f>
        <v>0</v>
      </c>
      <c r="O475" s="24">
        <f t="shared" si="12"/>
        <v>0</v>
      </c>
      <c r="P475" s="24">
        <f>IF(F475="Barrido","",O475)</f>
        <v>0</v>
      </c>
      <c r="Q475" s="24" t="str">
        <f>IF(F475="Barrido",O475,"")</f>
        <v/>
      </c>
      <c r="R475" s="24">
        <f t="shared" si="13"/>
        <v>0</v>
      </c>
      <c r="S475" s="22">
        <f t="shared" si="14"/>
        <v>0</v>
      </c>
      <c r="T475" s="23"/>
      <c r="U475" s="23"/>
      <c r="V475" s="23"/>
      <c r="W475" s="23"/>
      <c r="X475" s="23"/>
    </row>
    <row r="476" spans="1:24" x14ac:dyDescent="0.2">
      <c r="A476" s="18"/>
      <c r="B476" s="19" t="str">
        <f>IF(A476="","",VLOOKUP(Planilla!A476,#REF!,2,FALSE))</f>
        <v/>
      </c>
      <c r="C476" s="19" t="str">
        <f>IF(B476="","",VLOOKUP(Planilla!A476,#REF!,3,FALSE))</f>
        <v/>
      </c>
      <c r="D476" s="20"/>
      <c r="E476" s="21"/>
      <c r="F476" s="21"/>
      <c r="G476" s="21"/>
      <c r="H476" s="21"/>
      <c r="I476" s="36"/>
      <c r="J476" s="36"/>
      <c r="K476" s="21"/>
      <c r="L476" s="21"/>
      <c r="M476" s="24">
        <f>IF(K476="",0,VLOOKUP(K476,#REF!,2,FALSE))</f>
        <v>0</v>
      </c>
      <c r="N476" s="24">
        <f>IF(L476="",0,VLOOKUP(L476,#REF!,2,FALSE))</f>
        <v>0</v>
      </c>
      <c r="O476" s="24">
        <f t="shared" si="12"/>
        <v>0</v>
      </c>
      <c r="P476" s="24">
        <f>IF(F476="Barrido","",O476)</f>
        <v>0</v>
      </c>
      <c r="Q476" s="24" t="str">
        <f>IF(F476="Barrido",O476,"")</f>
        <v/>
      </c>
      <c r="R476" s="24">
        <f t="shared" si="13"/>
        <v>0</v>
      </c>
      <c r="S476" s="22">
        <f t="shared" si="14"/>
        <v>0</v>
      </c>
      <c r="T476" s="23"/>
      <c r="U476" s="23"/>
      <c r="V476" s="23"/>
      <c r="W476" s="23"/>
      <c r="X476" s="23"/>
    </row>
    <row r="477" spans="1:24" x14ac:dyDescent="0.2">
      <c r="A477" s="18"/>
      <c r="B477" s="19" t="str">
        <f>IF(A477="","",VLOOKUP(Planilla!A477,#REF!,2,FALSE))</f>
        <v/>
      </c>
      <c r="C477" s="19" t="str">
        <f>IF(B477="","",VLOOKUP(Planilla!A477,#REF!,3,FALSE))</f>
        <v/>
      </c>
      <c r="D477" s="20"/>
      <c r="E477" s="21"/>
      <c r="F477" s="21"/>
      <c r="G477" s="21"/>
      <c r="H477" s="21"/>
      <c r="I477" s="36"/>
      <c r="J477" s="36"/>
      <c r="K477" s="21"/>
      <c r="L477" s="21"/>
      <c r="M477" s="24">
        <f>IF(K477="",0,VLOOKUP(K477,#REF!,2,FALSE))</f>
        <v>0</v>
      </c>
      <c r="N477" s="24">
        <f>IF(L477="",0,VLOOKUP(L477,#REF!,2,FALSE))</f>
        <v>0</v>
      </c>
      <c r="O477" s="24">
        <f t="shared" si="12"/>
        <v>0</v>
      </c>
      <c r="P477" s="24">
        <f>IF(F477="Barrido","",O477)</f>
        <v>0</v>
      </c>
      <c r="Q477" s="24" t="str">
        <f>IF(F477="Barrido",O477,"")</f>
        <v/>
      </c>
      <c r="R477" s="24">
        <f t="shared" si="13"/>
        <v>0</v>
      </c>
      <c r="S477" s="22">
        <f t="shared" si="14"/>
        <v>0</v>
      </c>
      <c r="T477" s="23"/>
      <c r="U477" s="23"/>
      <c r="V477" s="23"/>
      <c r="W477" s="23"/>
      <c r="X477" s="23"/>
    </row>
    <row r="478" spans="1:24" x14ac:dyDescent="0.2">
      <c r="A478" s="18"/>
      <c r="B478" s="19" t="str">
        <f>IF(A478="","",VLOOKUP(Planilla!A478,#REF!,2,FALSE))</f>
        <v/>
      </c>
      <c r="C478" s="19" t="str">
        <f>IF(B478="","",VLOOKUP(Planilla!A478,#REF!,3,FALSE))</f>
        <v/>
      </c>
      <c r="D478" s="20"/>
      <c r="E478" s="21"/>
      <c r="F478" s="21"/>
      <c r="G478" s="21"/>
      <c r="H478" s="21"/>
      <c r="I478" s="36"/>
      <c r="J478" s="36"/>
      <c r="K478" s="21"/>
      <c r="L478" s="21"/>
      <c r="M478" s="24">
        <f>IF(K478="",0,VLOOKUP(K478,#REF!,2,FALSE))</f>
        <v>0</v>
      </c>
      <c r="N478" s="24">
        <f>IF(L478="",0,VLOOKUP(L478,#REF!,2,FALSE))</f>
        <v>0</v>
      </c>
      <c r="O478" s="24">
        <f t="shared" si="12"/>
        <v>0</v>
      </c>
      <c r="P478" s="24">
        <f>IF(F478="Barrido","",O478)</f>
        <v>0</v>
      </c>
      <c r="Q478" s="24" t="str">
        <f>IF(F478="Barrido",O478,"")</f>
        <v/>
      </c>
      <c r="R478" s="24">
        <f t="shared" si="13"/>
        <v>0</v>
      </c>
      <c r="S478" s="22">
        <f t="shared" si="14"/>
        <v>0</v>
      </c>
      <c r="T478" s="23"/>
      <c r="U478" s="23"/>
      <c r="V478" s="23"/>
      <c r="W478" s="23"/>
      <c r="X478" s="23"/>
    </row>
    <row r="479" spans="1:24" x14ac:dyDescent="0.2">
      <c r="A479" s="18"/>
      <c r="B479" s="19" t="str">
        <f>IF(A479="","",VLOOKUP(Planilla!A479,#REF!,2,FALSE))</f>
        <v/>
      </c>
      <c r="C479" s="19" t="str">
        <f>IF(B479="","",VLOOKUP(Planilla!A479,#REF!,3,FALSE))</f>
        <v/>
      </c>
      <c r="D479" s="20"/>
      <c r="E479" s="21"/>
      <c r="F479" s="21"/>
      <c r="G479" s="21"/>
      <c r="H479" s="21"/>
      <c r="I479" s="36"/>
      <c r="J479" s="36"/>
      <c r="K479" s="21"/>
      <c r="L479" s="21"/>
      <c r="M479" s="24">
        <f>IF(K479="",0,VLOOKUP(K479,#REF!,2,FALSE))</f>
        <v>0</v>
      </c>
      <c r="N479" s="24">
        <f>IF(L479="",0,VLOOKUP(L479,#REF!,2,FALSE))</f>
        <v>0</v>
      </c>
      <c r="O479" s="24">
        <f t="shared" si="12"/>
        <v>0</v>
      </c>
      <c r="P479" s="24">
        <f>IF(F479="Barrido","",O479)</f>
        <v>0</v>
      </c>
      <c r="Q479" s="24" t="str">
        <f>IF(F479="Barrido",O479,"")</f>
        <v/>
      </c>
      <c r="R479" s="24">
        <f t="shared" si="13"/>
        <v>0</v>
      </c>
      <c r="S479" s="22">
        <f t="shared" si="14"/>
        <v>0</v>
      </c>
      <c r="T479" s="23"/>
      <c r="U479" s="23"/>
      <c r="V479" s="23"/>
      <c r="W479" s="23"/>
      <c r="X479" s="23"/>
    </row>
    <row r="480" spans="1:24" x14ac:dyDescent="0.2">
      <c r="A480" s="18"/>
      <c r="B480" s="19" t="str">
        <f>IF(A480="","",VLOOKUP(Planilla!A480,#REF!,2,FALSE))</f>
        <v/>
      </c>
      <c r="C480" s="19" t="str">
        <f>IF(B480="","",VLOOKUP(Planilla!A480,#REF!,3,FALSE))</f>
        <v/>
      </c>
      <c r="D480" s="20"/>
      <c r="E480" s="21"/>
      <c r="F480" s="21"/>
      <c r="G480" s="21"/>
      <c r="H480" s="21"/>
      <c r="I480" s="36"/>
      <c r="J480" s="36"/>
      <c r="K480" s="21"/>
      <c r="L480" s="21"/>
      <c r="M480" s="24">
        <f>IF(K480="",0,VLOOKUP(K480,#REF!,2,FALSE))</f>
        <v>0</v>
      </c>
      <c r="N480" s="24">
        <f>IF(L480="",0,VLOOKUP(L480,#REF!,2,FALSE))</f>
        <v>0</v>
      </c>
      <c r="O480" s="24">
        <f t="shared" si="12"/>
        <v>0</v>
      </c>
      <c r="P480" s="24">
        <f>IF(F480="Barrido","",O480)</f>
        <v>0</v>
      </c>
      <c r="Q480" s="24" t="str">
        <f>IF(F480="Barrido",O480,"")</f>
        <v/>
      </c>
      <c r="R480" s="24">
        <f t="shared" si="13"/>
        <v>0</v>
      </c>
      <c r="S480" s="22">
        <f t="shared" si="14"/>
        <v>0</v>
      </c>
      <c r="T480" s="23"/>
      <c r="U480" s="23"/>
      <c r="V480" s="23"/>
      <c r="W480" s="23"/>
      <c r="X480" s="23"/>
    </row>
    <row r="481" spans="1:24" x14ac:dyDescent="0.2">
      <c r="A481" s="18"/>
      <c r="B481" s="19" t="str">
        <f>IF(A481="","",VLOOKUP(Planilla!A481,#REF!,2,FALSE))</f>
        <v/>
      </c>
      <c r="C481" s="19" t="str">
        <f>IF(B481="","",VLOOKUP(Planilla!A481,#REF!,3,FALSE))</f>
        <v/>
      </c>
      <c r="D481" s="20"/>
      <c r="E481" s="21"/>
      <c r="F481" s="21"/>
      <c r="G481" s="21"/>
      <c r="H481" s="21"/>
      <c r="I481" s="36"/>
      <c r="J481" s="36"/>
      <c r="K481" s="21"/>
      <c r="L481" s="21"/>
      <c r="M481" s="24">
        <f>IF(K481="",0,VLOOKUP(K481,#REF!,2,FALSE))</f>
        <v>0</v>
      </c>
      <c r="N481" s="24">
        <f>IF(L481="",0,VLOOKUP(L481,#REF!,2,FALSE))</f>
        <v>0</v>
      </c>
      <c r="O481" s="24">
        <f t="shared" si="12"/>
        <v>0</v>
      </c>
      <c r="P481" s="24">
        <f>IF(F481="Barrido","",O481)</f>
        <v>0</v>
      </c>
      <c r="Q481" s="24" t="str">
        <f>IF(F481="Barrido",O481,"")</f>
        <v/>
      </c>
      <c r="R481" s="24">
        <f t="shared" si="13"/>
        <v>0</v>
      </c>
      <c r="S481" s="22">
        <f t="shared" si="14"/>
        <v>0</v>
      </c>
      <c r="T481" s="23"/>
      <c r="U481" s="23"/>
      <c r="V481" s="23"/>
      <c r="W481" s="23"/>
      <c r="X481" s="23"/>
    </row>
    <row r="482" spans="1:24" x14ac:dyDescent="0.2">
      <c r="A482" s="18"/>
      <c r="B482" s="19" t="str">
        <f>IF(A482="","",VLOOKUP(Planilla!A482,#REF!,2,FALSE))</f>
        <v/>
      </c>
      <c r="C482" s="19" t="str">
        <f>IF(B482="","",VLOOKUP(Planilla!A482,#REF!,3,FALSE))</f>
        <v/>
      </c>
      <c r="D482" s="20"/>
      <c r="E482" s="21"/>
      <c r="F482" s="21"/>
      <c r="G482" s="21"/>
      <c r="H482" s="21"/>
      <c r="I482" s="36"/>
      <c r="J482" s="36"/>
      <c r="K482" s="21"/>
      <c r="L482" s="21"/>
      <c r="M482" s="24">
        <f>IF(K482="",0,VLOOKUP(K482,#REF!,2,FALSE))</f>
        <v>0</v>
      </c>
      <c r="N482" s="24">
        <f>IF(L482="",0,VLOOKUP(L482,#REF!,2,FALSE))</f>
        <v>0</v>
      </c>
      <c r="O482" s="24">
        <f t="shared" si="12"/>
        <v>0</v>
      </c>
      <c r="P482" s="24">
        <f>IF(F482="Barrido","",O482)</f>
        <v>0</v>
      </c>
      <c r="Q482" s="24" t="str">
        <f>IF(F482="Barrido",O482,"")</f>
        <v/>
      </c>
      <c r="R482" s="24">
        <f t="shared" si="13"/>
        <v>0</v>
      </c>
      <c r="S482" s="22">
        <f t="shared" si="14"/>
        <v>0</v>
      </c>
      <c r="T482" s="23"/>
      <c r="U482" s="23"/>
      <c r="V482" s="23"/>
      <c r="W482" s="23"/>
      <c r="X482" s="23"/>
    </row>
    <row r="483" spans="1:24" x14ac:dyDescent="0.2">
      <c r="A483" s="18"/>
      <c r="B483" s="19" t="str">
        <f>IF(A483="","",VLOOKUP(Planilla!A483,#REF!,2,FALSE))</f>
        <v/>
      </c>
      <c r="C483" s="19" t="str">
        <f>IF(B483="","",VLOOKUP(Planilla!A483,#REF!,3,FALSE))</f>
        <v/>
      </c>
      <c r="D483" s="20"/>
      <c r="E483" s="21"/>
      <c r="F483" s="21"/>
      <c r="G483" s="21"/>
      <c r="H483" s="21"/>
      <c r="I483" s="36"/>
      <c r="J483" s="36"/>
      <c r="K483" s="21"/>
      <c r="L483" s="21"/>
      <c r="M483" s="24">
        <f>IF(K483="",0,VLOOKUP(K483,#REF!,2,FALSE))</f>
        <v>0</v>
      </c>
      <c r="N483" s="24">
        <f>IF(L483="",0,VLOOKUP(L483,#REF!,2,FALSE))</f>
        <v>0</v>
      </c>
      <c r="O483" s="24">
        <f t="shared" si="12"/>
        <v>0</v>
      </c>
      <c r="P483" s="24">
        <f>IF(F483="Barrido","",O483)</f>
        <v>0</v>
      </c>
      <c r="Q483" s="24" t="str">
        <f>IF(F483="Barrido",O483,"")</f>
        <v/>
      </c>
      <c r="R483" s="24">
        <f t="shared" si="13"/>
        <v>0</v>
      </c>
      <c r="S483" s="22">
        <f t="shared" si="14"/>
        <v>0</v>
      </c>
      <c r="T483" s="23"/>
      <c r="U483" s="23"/>
      <c r="V483" s="23"/>
      <c r="W483" s="23"/>
      <c r="X483" s="23"/>
    </row>
    <row r="484" spans="1:24" x14ac:dyDescent="0.2">
      <c r="A484" s="18"/>
      <c r="B484" s="19" t="str">
        <f>IF(A484="","",VLOOKUP(Planilla!A484,#REF!,2,FALSE))</f>
        <v/>
      </c>
      <c r="C484" s="19" t="str">
        <f>IF(B484="","",VLOOKUP(Planilla!A484,#REF!,3,FALSE))</f>
        <v/>
      </c>
      <c r="D484" s="20"/>
      <c r="E484" s="21"/>
      <c r="F484" s="21"/>
      <c r="G484" s="21"/>
      <c r="H484" s="21"/>
      <c r="I484" s="36"/>
      <c r="J484" s="36"/>
      <c r="K484" s="21"/>
      <c r="L484" s="21"/>
      <c r="M484" s="24">
        <f>IF(K484="",0,VLOOKUP(K484,#REF!,2,FALSE))</f>
        <v>0</v>
      </c>
      <c r="N484" s="24">
        <f>IF(L484="",0,VLOOKUP(L484,#REF!,2,FALSE))</f>
        <v>0</v>
      </c>
      <c r="O484" s="24">
        <f t="shared" si="12"/>
        <v>0</v>
      </c>
      <c r="P484" s="24">
        <f>IF(F484="Barrido","",O484)</f>
        <v>0</v>
      </c>
      <c r="Q484" s="24" t="str">
        <f>IF(F484="Barrido",O484,"")</f>
        <v/>
      </c>
      <c r="R484" s="24">
        <f t="shared" si="13"/>
        <v>0</v>
      </c>
      <c r="S484" s="22">
        <f t="shared" si="14"/>
        <v>0</v>
      </c>
      <c r="T484" s="23"/>
      <c r="U484" s="23"/>
      <c r="V484" s="23"/>
      <c r="W484" s="23"/>
      <c r="X484" s="23"/>
    </row>
    <row r="485" spans="1:24" x14ac:dyDescent="0.2">
      <c r="A485" s="18"/>
      <c r="B485" s="19" t="str">
        <f>IF(A485="","",VLOOKUP(Planilla!A485,#REF!,2,FALSE))</f>
        <v/>
      </c>
      <c r="C485" s="19" t="str">
        <f>IF(B485="","",VLOOKUP(Planilla!A485,#REF!,3,FALSE))</f>
        <v/>
      </c>
      <c r="D485" s="20"/>
      <c r="E485" s="21"/>
      <c r="F485" s="21"/>
      <c r="G485" s="21"/>
      <c r="H485" s="21"/>
      <c r="I485" s="36"/>
      <c r="J485" s="36"/>
      <c r="K485" s="21"/>
      <c r="L485" s="21"/>
      <c r="M485" s="24">
        <f>IF(K485="",0,VLOOKUP(K485,#REF!,2,FALSE))</f>
        <v>0</v>
      </c>
      <c r="N485" s="24">
        <f>IF(L485="",0,VLOOKUP(L485,#REF!,2,FALSE))</f>
        <v>0</v>
      </c>
      <c r="O485" s="24">
        <f t="shared" si="12"/>
        <v>0</v>
      </c>
      <c r="P485" s="24">
        <f>IF(F485="Barrido","",O485)</f>
        <v>0</v>
      </c>
      <c r="Q485" s="24" t="str">
        <f>IF(F485="Barrido",O485,"")</f>
        <v/>
      </c>
      <c r="R485" s="24">
        <f t="shared" si="13"/>
        <v>0</v>
      </c>
      <c r="S485" s="22">
        <f t="shared" si="14"/>
        <v>0</v>
      </c>
      <c r="T485" s="23"/>
      <c r="U485" s="23"/>
      <c r="V485" s="23"/>
      <c r="W485" s="23"/>
      <c r="X485" s="23"/>
    </row>
    <row r="486" spans="1:24" x14ac:dyDescent="0.2">
      <c r="A486" s="18"/>
      <c r="B486" s="19" t="str">
        <f>IF(A486="","",VLOOKUP(Planilla!A486,#REF!,2,FALSE))</f>
        <v/>
      </c>
      <c r="C486" s="19" t="str">
        <f>IF(B486="","",VLOOKUP(Planilla!A486,#REF!,3,FALSE))</f>
        <v/>
      </c>
      <c r="D486" s="20"/>
      <c r="E486" s="21"/>
      <c r="F486" s="21"/>
      <c r="G486" s="21"/>
      <c r="H486" s="21"/>
      <c r="I486" s="36"/>
      <c r="J486" s="36"/>
      <c r="K486" s="21"/>
      <c r="L486" s="21"/>
      <c r="M486" s="24">
        <f>IF(K486="",0,VLOOKUP(K486,#REF!,2,FALSE))</f>
        <v>0</v>
      </c>
      <c r="N486" s="24">
        <f>IF(L486="",0,VLOOKUP(L486,#REF!,2,FALSE))</f>
        <v>0</v>
      </c>
      <c r="O486" s="24">
        <f t="shared" si="12"/>
        <v>0</v>
      </c>
      <c r="P486" s="24">
        <f>IF(F486="Barrido","",O486)</f>
        <v>0</v>
      </c>
      <c r="Q486" s="24" t="str">
        <f>IF(F486="Barrido",O486,"")</f>
        <v/>
      </c>
      <c r="R486" s="24">
        <f t="shared" si="13"/>
        <v>0</v>
      </c>
      <c r="S486" s="22">
        <f t="shared" si="14"/>
        <v>0</v>
      </c>
      <c r="T486" s="23"/>
      <c r="U486" s="23"/>
      <c r="V486" s="23"/>
      <c r="W486" s="23"/>
      <c r="X486" s="23"/>
    </row>
    <row r="487" spans="1:24" x14ac:dyDescent="0.2">
      <c r="A487" s="18"/>
      <c r="B487" s="19" t="str">
        <f>IF(A487="","",VLOOKUP(Planilla!A487,#REF!,2,FALSE))</f>
        <v/>
      </c>
      <c r="C487" s="19" t="str">
        <f>IF(B487="","",VLOOKUP(Planilla!A487,#REF!,3,FALSE))</f>
        <v/>
      </c>
      <c r="D487" s="20"/>
      <c r="E487" s="21"/>
      <c r="F487" s="21"/>
      <c r="G487" s="21"/>
      <c r="H487" s="21"/>
      <c r="I487" s="36"/>
      <c r="J487" s="36"/>
      <c r="K487" s="21"/>
      <c r="L487" s="21"/>
      <c r="M487" s="24">
        <f>IF(K487="",0,VLOOKUP(K487,#REF!,2,FALSE))</f>
        <v>0</v>
      </c>
      <c r="N487" s="24">
        <f>IF(L487="",0,VLOOKUP(L487,#REF!,2,FALSE))</f>
        <v>0</v>
      </c>
      <c r="O487" s="24">
        <f t="shared" si="12"/>
        <v>0</v>
      </c>
      <c r="P487" s="24">
        <f>IF(F487="Barrido","",O487)</f>
        <v>0</v>
      </c>
      <c r="Q487" s="24" t="str">
        <f>IF(F487="Barrido",O487,"")</f>
        <v/>
      </c>
      <c r="R487" s="24">
        <f t="shared" si="13"/>
        <v>0</v>
      </c>
      <c r="S487" s="22">
        <f t="shared" si="14"/>
        <v>0</v>
      </c>
      <c r="T487" s="23"/>
      <c r="U487" s="23"/>
      <c r="V487" s="23"/>
      <c r="W487" s="23"/>
      <c r="X487" s="23"/>
    </row>
    <row r="488" spans="1:24" x14ac:dyDescent="0.2">
      <c r="A488" s="18"/>
      <c r="B488" s="19" t="str">
        <f>IF(A488="","",VLOOKUP(Planilla!A488,#REF!,2,FALSE))</f>
        <v/>
      </c>
      <c r="C488" s="19" t="str">
        <f>IF(B488="","",VLOOKUP(Planilla!A488,#REF!,3,FALSE))</f>
        <v/>
      </c>
      <c r="D488" s="20"/>
      <c r="E488" s="21"/>
      <c r="F488" s="21"/>
      <c r="G488" s="21"/>
      <c r="H488" s="21"/>
      <c r="I488" s="36"/>
      <c r="J488" s="36"/>
      <c r="K488" s="21"/>
      <c r="L488" s="21"/>
      <c r="M488" s="24">
        <f>IF(K488="",0,VLOOKUP(K488,#REF!,2,FALSE))</f>
        <v>0</v>
      </c>
      <c r="N488" s="24">
        <f>IF(L488="",0,VLOOKUP(L488,#REF!,2,FALSE))</f>
        <v>0</v>
      </c>
      <c r="O488" s="24">
        <f t="shared" si="12"/>
        <v>0</v>
      </c>
      <c r="P488" s="24">
        <f>IF(F488="Barrido","",O488)</f>
        <v>0</v>
      </c>
      <c r="Q488" s="24" t="str">
        <f>IF(F488="Barrido",O488,"")</f>
        <v/>
      </c>
      <c r="R488" s="24">
        <f t="shared" si="13"/>
        <v>0</v>
      </c>
      <c r="S488" s="22">
        <f t="shared" si="14"/>
        <v>0</v>
      </c>
      <c r="T488" s="23"/>
      <c r="U488" s="23"/>
      <c r="V488" s="23"/>
      <c r="W488" s="23"/>
      <c r="X488" s="23"/>
    </row>
    <row r="489" spans="1:24" x14ac:dyDescent="0.2">
      <c r="A489" s="18"/>
      <c r="B489" s="19" t="str">
        <f>IF(A489="","",VLOOKUP(Planilla!A489,#REF!,2,FALSE))</f>
        <v/>
      </c>
      <c r="C489" s="19" t="str">
        <f>IF(B489="","",VLOOKUP(Planilla!A489,#REF!,3,FALSE))</f>
        <v/>
      </c>
      <c r="D489" s="20"/>
      <c r="E489" s="21"/>
      <c r="F489" s="21"/>
      <c r="G489" s="21"/>
      <c r="H489" s="21"/>
      <c r="I489" s="36"/>
      <c r="J489" s="36"/>
      <c r="K489" s="21"/>
      <c r="L489" s="21"/>
      <c r="M489" s="24">
        <f>IF(K489="",0,VLOOKUP(K489,#REF!,2,FALSE))</f>
        <v>0</v>
      </c>
      <c r="N489" s="24">
        <f>IF(L489="",0,VLOOKUP(L489,#REF!,2,FALSE))</f>
        <v>0</v>
      </c>
      <c r="O489" s="24">
        <f t="shared" si="12"/>
        <v>0</v>
      </c>
      <c r="P489" s="24">
        <f>IF(F489="Barrido","",O489)</f>
        <v>0</v>
      </c>
      <c r="Q489" s="24" t="str">
        <f>IF(F489="Barrido",O489,"")</f>
        <v/>
      </c>
      <c r="R489" s="24">
        <f t="shared" si="13"/>
        <v>0</v>
      </c>
      <c r="S489" s="22">
        <f t="shared" si="14"/>
        <v>0</v>
      </c>
      <c r="T489" s="23"/>
      <c r="U489" s="23"/>
      <c r="V489" s="23"/>
      <c r="W489" s="23"/>
      <c r="X489" s="23"/>
    </row>
    <row r="490" spans="1:24" x14ac:dyDescent="0.2">
      <c r="A490" s="18"/>
      <c r="B490" s="19" t="str">
        <f>IF(A490="","",VLOOKUP(Planilla!A490,#REF!,2,FALSE))</f>
        <v/>
      </c>
      <c r="C490" s="19" t="str">
        <f>IF(B490="","",VLOOKUP(Planilla!A490,#REF!,3,FALSE))</f>
        <v/>
      </c>
      <c r="D490" s="20"/>
      <c r="E490" s="21"/>
      <c r="F490" s="21"/>
      <c r="G490" s="21"/>
      <c r="H490" s="21"/>
      <c r="I490" s="36"/>
      <c r="J490" s="36"/>
      <c r="K490" s="21"/>
      <c r="L490" s="21"/>
      <c r="M490" s="24">
        <f>IF(K490="",0,VLOOKUP(K490,#REF!,2,FALSE))</f>
        <v>0</v>
      </c>
      <c r="N490" s="24">
        <f>IF(L490="",0,VLOOKUP(L490,#REF!,2,FALSE))</f>
        <v>0</v>
      </c>
      <c r="O490" s="24">
        <f t="shared" si="12"/>
        <v>0</v>
      </c>
      <c r="P490" s="24">
        <f>IF(F490="Barrido","",O490)</f>
        <v>0</v>
      </c>
      <c r="Q490" s="24" t="str">
        <f>IF(F490="Barrido",O490,"")</f>
        <v/>
      </c>
      <c r="R490" s="24">
        <f t="shared" si="13"/>
        <v>0</v>
      </c>
      <c r="S490" s="22">
        <f t="shared" si="14"/>
        <v>0</v>
      </c>
      <c r="T490" s="23"/>
      <c r="U490" s="23"/>
      <c r="V490" s="23"/>
      <c r="W490" s="23"/>
      <c r="X490" s="23"/>
    </row>
    <row r="491" spans="1:24" x14ac:dyDescent="0.2">
      <c r="A491" s="18"/>
      <c r="B491" s="19" t="str">
        <f>IF(A491="","",VLOOKUP(Planilla!A491,#REF!,2,FALSE))</f>
        <v/>
      </c>
      <c r="C491" s="19" t="str">
        <f>IF(B491="","",VLOOKUP(Planilla!A491,#REF!,3,FALSE))</f>
        <v/>
      </c>
      <c r="D491" s="20"/>
      <c r="E491" s="21"/>
      <c r="F491" s="21"/>
      <c r="G491" s="21"/>
      <c r="H491" s="21"/>
      <c r="I491" s="36"/>
      <c r="J491" s="36"/>
      <c r="K491" s="21"/>
      <c r="L491" s="21"/>
      <c r="M491" s="24">
        <f>IF(K491="",0,VLOOKUP(K491,#REF!,2,FALSE))</f>
        <v>0</v>
      </c>
      <c r="N491" s="24">
        <f>IF(L491="",0,VLOOKUP(L491,#REF!,2,FALSE))</f>
        <v>0</v>
      </c>
      <c r="O491" s="24">
        <f t="shared" si="12"/>
        <v>0</v>
      </c>
      <c r="P491" s="24">
        <f>IF(F491="Barrido","",O491)</f>
        <v>0</v>
      </c>
      <c r="Q491" s="24" t="str">
        <f>IF(F491="Barrido",O491,"")</f>
        <v/>
      </c>
      <c r="R491" s="24">
        <f t="shared" si="13"/>
        <v>0</v>
      </c>
      <c r="S491" s="22">
        <f t="shared" si="14"/>
        <v>0</v>
      </c>
      <c r="T491" s="23"/>
      <c r="U491" s="23"/>
      <c r="V491" s="23"/>
      <c r="W491" s="23"/>
      <c r="X491" s="23"/>
    </row>
    <row r="492" spans="1:24" x14ac:dyDescent="0.2">
      <c r="A492" s="18"/>
      <c r="B492" s="19" t="str">
        <f>IF(A492="","",VLOOKUP(Planilla!A492,#REF!,2,FALSE))</f>
        <v/>
      </c>
      <c r="C492" s="19" t="str">
        <f>IF(B492="","",VLOOKUP(Planilla!A492,#REF!,3,FALSE))</f>
        <v/>
      </c>
      <c r="D492" s="20"/>
      <c r="E492" s="21"/>
      <c r="F492" s="21"/>
      <c r="G492" s="21"/>
      <c r="H492" s="21"/>
      <c r="I492" s="36"/>
      <c r="J492" s="36"/>
      <c r="K492" s="21"/>
      <c r="L492" s="21"/>
      <c r="M492" s="24">
        <f>IF(K492="",0,VLOOKUP(K492,#REF!,2,FALSE))</f>
        <v>0</v>
      </c>
      <c r="N492" s="24">
        <f>IF(L492="",0,VLOOKUP(L492,#REF!,2,FALSE))</f>
        <v>0</v>
      </c>
      <c r="O492" s="24">
        <f t="shared" si="12"/>
        <v>0</v>
      </c>
      <c r="P492" s="24">
        <f>IF(F492="Barrido","",O492)</f>
        <v>0</v>
      </c>
      <c r="Q492" s="24" t="str">
        <f>IF(F492="Barrido",O492,"")</f>
        <v/>
      </c>
      <c r="R492" s="24">
        <f t="shared" si="13"/>
        <v>0</v>
      </c>
      <c r="S492" s="22">
        <f t="shared" si="14"/>
        <v>0</v>
      </c>
      <c r="T492" s="23"/>
      <c r="U492" s="23"/>
      <c r="V492" s="23"/>
      <c r="W492" s="23"/>
      <c r="X492" s="23"/>
    </row>
    <row r="493" spans="1:24" x14ac:dyDescent="0.2">
      <c r="A493" s="18"/>
      <c r="B493" s="19" t="str">
        <f>IF(A493="","",VLOOKUP(Planilla!A493,#REF!,2,FALSE))</f>
        <v/>
      </c>
      <c r="C493" s="19" t="str">
        <f>IF(B493="","",VLOOKUP(Planilla!A493,#REF!,3,FALSE))</f>
        <v/>
      </c>
      <c r="D493" s="20"/>
      <c r="E493" s="21"/>
      <c r="F493" s="21"/>
      <c r="G493" s="21"/>
      <c r="H493" s="21"/>
      <c r="I493" s="36"/>
      <c r="J493" s="36"/>
      <c r="K493" s="21"/>
      <c r="L493" s="21"/>
      <c r="M493" s="24">
        <f>IF(K493="",0,VLOOKUP(K493,#REF!,2,FALSE))</f>
        <v>0</v>
      </c>
      <c r="N493" s="24">
        <f>IF(L493="",0,VLOOKUP(L493,#REF!,2,FALSE))</f>
        <v>0</v>
      </c>
      <c r="O493" s="24">
        <f t="shared" si="12"/>
        <v>0</v>
      </c>
      <c r="P493" s="24">
        <f>IF(F493="Barrido","",O493)</f>
        <v>0</v>
      </c>
      <c r="Q493" s="24" t="str">
        <f>IF(F493="Barrido",O493,"")</f>
        <v/>
      </c>
      <c r="R493" s="24">
        <f t="shared" si="13"/>
        <v>0</v>
      </c>
      <c r="S493" s="22">
        <f t="shared" si="14"/>
        <v>0</v>
      </c>
      <c r="T493" s="23"/>
      <c r="U493" s="23"/>
      <c r="V493" s="23"/>
      <c r="W493" s="23"/>
      <c r="X493" s="23"/>
    </row>
    <row r="494" spans="1:24" x14ac:dyDescent="0.2">
      <c r="A494" s="18"/>
      <c r="B494" s="19" t="str">
        <f>IF(A494="","",VLOOKUP(Planilla!A494,#REF!,2,FALSE))</f>
        <v/>
      </c>
      <c r="C494" s="19" t="str">
        <f>IF(B494="","",VLOOKUP(Planilla!A494,#REF!,3,FALSE))</f>
        <v/>
      </c>
      <c r="D494" s="20"/>
      <c r="E494" s="21"/>
      <c r="F494" s="21"/>
      <c r="G494" s="21"/>
      <c r="H494" s="21"/>
      <c r="I494" s="36"/>
      <c r="J494" s="36"/>
      <c r="K494" s="21"/>
      <c r="L494" s="21"/>
      <c r="M494" s="24">
        <f>IF(K494="",0,VLOOKUP(K494,#REF!,2,FALSE))</f>
        <v>0</v>
      </c>
      <c r="N494" s="24">
        <f>IF(L494="",0,VLOOKUP(L494,#REF!,2,FALSE))</f>
        <v>0</v>
      </c>
      <c r="O494" s="24">
        <f t="shared" si="12"/>
        <v>0</v>
      </c>
      <c r="P494" s="24">
        <f>IF(F494="Barrido","",O494)</f>
        <v>0</v>
      </c>
      <c r="Q494" s="24" t="str">
        <f>IF(F494="Barrido",O494,"")</f>
        <v/>
      </c>
      <c r="R494" s="24">
        <f t="shared" si="13"/>
        <v>0</v>
      </c>
      <c r="S494" s="22">
        <f t="shared" si="14"/>
        <v>0</v>
      </c>
      <c r="T494" s="23"/>
      <c r="U494" s="23"/>
      <c r="V494" s="23"/>
      <c r="W494" s="23"/>
      <c r="X494" s="23"/>
    </row>
    <row r="495" spans="1:24" x14ac:dyDescent="0.2">
      <c r="A495" s="18"/>
      <c r="B495" s="19" t="str">
        <f>IF(A495="","",VLOOKUP(Planilla!A495,#REF!,2,FALSE))</f>
        <v/>
      </c>
      <c r="C495" s="19" t="str">
        <f>IF(B495="","",VLOOKUP(Planilla!A495,#REF!,3,FALSE))</f>
        <v/>
      </c>
      <c r="D495" s="20"/>
      <c r="E495" s="21"/>
      <c r="F495" s="21"/>
      <c r="G495" s="21"/>
      <c r="H495" s="21"/>
      <c r="I495" s="36"/>
      <c r="J495" s="36"/>
      <c r="K495" s="21"/>
      <c r="L495" s="21"/>
      <c r="M495" s="24">
        <f>IF(K495="",0,VLOOKUP(K495,#REF!,2,FALSE))</f>
        <v>0</v>
      </c>
      <c r="N495" s="24">
        <f>IF(L495="",0,VLOOKUP(L495,#REF!,2,FALSE))</f>
        <v>0</v>
      </c>
      <c r="O495" s="24">
        <f t="shared" si="12"/>
        <v>0</v>
      </c>
      <c r="P495" s="24">
        <f>IF(F495="Barrido","",O495)</f>
        <v>0</v>
      </c>
      <c r="Q495" s="24" t="str">
        <f>IF(F495="Barrido",O495,"")</f>
        <v/>
      </c>
      <c r="R495" s="24">
        <f t="shared" si="13"/>
        <v>0</v>
      </c>
      <c r="S495" s="22">
        <f t="shared" si="14"/>
        <v>0</v>
      </c>
      <c r="T495" s="23"/>
      <c r="U495" s="23"/>
      <c r="V495" s="23"/>
      <c r="W495" s="23"/>
      <c r="X495" s="23"/>
    </row>
    <row r="496" spans="1:24" x14ac:dyDescent="0.2">
      <c r="A496" s="18"/>
      <c r="B496" s="19" t="str">
        <f>IF(A496="","",VLOOKUP(Planilla!A496,#REF!,2,FALSE))</f>
        <v/>
      </c>
      <c r="C496" s="19" t="str">
        <f>IF(B496="","",VLOOKUP(Planilla!A496,#REF!,3,FALSE))</f>
        <v/>
      </c>
      <c r="D496" s="20"/>
      <c r="E496" s="21"/>
      <c r="F496" s="21"/>
      <c r="G496" s="21"/>
      <c r="H496" s="21"/>
      <c r="I496" s="36"/>
      <c r="J496" s="36"/>
      <c r="K496" s="21"/>
      <c r="L496" s="21"/>
      <c r="M496" s="24">
        <f>IF(K496="",0,VLOOKUP(K496,#REF!,2,FALSE))</f>
        <v>0</v>
      </c>
      <c r="N496" s="24">
        <f>IF(L496="",0,VLOOKUP(L496,#REF!,2,FALSE))</f>
        <v>0</v>
      </c>
      <c r="O496" s="24">
        <f t="shared" si="12"/>
        <v>0</v>
      </c>
      <c r="P496" s="24">
        <f>IF(F496="Barrido","",O496)</f>
        <v>0</v>
      </c>
      <c r="Q496" s="24" t="str">
        <f>IF(F496="Barrido",O496,"")</f>
        <v/>
      </c>
      <c r="R496" s="24">
        <f t="shared" si="13"/>
        <v>0</v>
      </c>
      <c r="S496" s="22">
        <f t="shared" si="14"/>
        <v>0</v>
      </c>
      <c r="T496" s="23"/>
      <c r="U496" s="23"/>
      <c r="V496" s="23"/>
      <c r="W496" s="23"/>
      <c r="X496" s="23"/>
    </row>
    <row r="497" spans="1:24" x14ac:dyDescent="0.2">
      <c r="A497" s="18"/>
      <c r="B497" s="19" t="str">
        <f>IF(A497="","",VLOOKUP(Planilla!A497,#REF!,2,FALSE))</f>
        <v/>
      </c>
      <c r="C497" s="19" t="str">
        <f>IF(B497="","",VLOOKUP(Planilla!A497,#REF!,3,FALSE))</f>
        <v/>
      </c>
      <c r="D497" s="20"/>
      <c r="E497" s="21"/>
      <c r="F497" s="21"/>
      <c r="G497" s="21"/>
      <c r="H497" s="21"/>
      <c r="I497" s="36"/>
      <c r="J497" s="36"/>
      <c r="K497" s="21"/>
      <c r="L497" s="21"/>
      <c r="M497" s="24">
        <f>IF(K497="",0,VLOOKUP(K497,#REF!,2,FALSE))</f>
        <v>0</v>
      </c>
      <c r="N497" s="24">
        <f>IF(L497="",0,VLOOKUP(L497,#REF!,2,FALSE))</f>
        <v>0</v>
      </c>
      <c r="O497" s="24">
        <f t="shared" si="12"/>
        <v>0</v>
      </c>
      <c r="P497" s="24">
        <f>IF(F497="Barrido","",O497)</f>
        <v>0</v>
      </c>
      <c r="Q497" s="24" t="str">
        <f>IF(F497="Barrido",O497,"")</f>
        <v/>
      </c>
      <c r="R497" s="24">
        <f t="shared" si="13"/>
        <v>0</v>
      </c>
      <c r="S497" s="22">
        <f t="shared" si="14"/>
        <v>0</v>
      </c>
      <c r="T497" s="23"/>
      <c r="U497" s="23"/>
      <c r="V497" s="23"/>
      <c r="W497" s="23"/>
      <c r="X497" s="23"/>
    </row>
    <row r="498" spans="1:24" x14ac:dyDescent="0.2">
      <c r="A498" s="18"/>
      <c r="B498" s="19" t="str">
        <f>IF(A498="","",VLOOKUP(Planilla!A498,#REF!,2,FALSE))</f>
        <v/>
      </c>
      <c r="C498" s="19" t="str">
        <f>IF(B498="","",VLOOKUP(Planilla!A498,#REF!,3,FALSE))</f>
        <v/>
      </c>
      <c r="D498" s="20"/>
      <c r="E498" s="21"/>
      <c r="F498" s="21"/>
      <c r="G498" s="21"/>
      <c r="H498" s="21"/>
      <c r="I498" s="36"/>
      <c r="J498" s="36"/>
      <c r="K498" s="21"/>
      <c r="L498" s="21"/>
      <c r="M498" s="24">
        <f>IF(K498="",0,VLOOKUP(K498,#REF!,2,FALSE))</f>
        <v>0</v>
      </c>
      <c r="N498" s="24">
        <f>IF(L498="",0,VLOOKUP(L498,#REF!,2,FALSE))</f>
        <v>0</v>
      </c>
      <c r="O498" s="24">
        <f t="shared" si="12"/>
        <v>0</v>
      </c>
      <c r="P498" s="24">
        <f>IF(F498="Barrido","",O498)</f>
        <v>0</v>
      </c>
      <c r="Q498" s="24" t="str">
        <f>IF(F498="Barrido",O498,"")</f>
        <v/>
      </c>
      <c r="R498" s="24">
        <f t="shared" si="13"/>
        <v>0</v>
      </c>
      <c r="S498" s="22">
        <f t="shared" si="14"/>
        <v>0</v>
      </c>
      <c r="T498" s="23"/>
      <c r="U498" s="23"/>
      <c r="V498" s="23"/>
      <c r="W498" s="23"/>
      <c r="X498" s="23"/>
    </row>
    <row r="499" spans="1:24" x14ac:dyDescent="0.2">
      <c r="A499" s="18"/>
      <c r="B499" s="19" t="str">
        <f>IF(A499="","",VLOOKUP(Planilla!A499,#REF!,2,FALSE))</f>
        <v/>
      </c>
      <c r="C499" s="19" t="str">
        <f>IF(B499="","",VLOOKUP(Planilla!A499,#REF!,3,FALSE))</f>
        <v/>
      </c>
      <c r="D499" s="20"/>
      <c r="E499" s="21"/>
      <c r="F499" s="21"/>
      <c r="G499" s="21"/>
      <c r="H499" s="21"/>
      <c r="I499" s="36"/>
      <c r="J499" s="36"/>
      <c r="K499" s="21"/>
      <c r="L499" s="21"/>
      <c r="M499" s="24">
        <f>IF(K499="",0,VLOOKUP(K499,#REF!,2,FALSE))</f>
        <v>0</v>
      </c>
      <c r="N499" s="24">
        <f>IF(L499="",0,VLOOKUP(L499,#REF!,2,FALSE))</f>
        <v>0</v>
      </c>
      <c r="O499" s="24">
        <f t="shared" si="12"/>
        <v>0</v>
      </c>
      <c r="P499" s="24">
        <f>IF(F499="Barrido","",O499)</f>
        <v>0</v>
      </c>
      <c r="Q499" s="24" t="str">
        <f>IF(F499="Barrido",O499,"")</f>
        <v/>
      </c>
      <c r="R499" s="24">
        <f t="shared" si="13"/>
        <v>0</v>
      </c>
      <c r="S499" s="22">
        <f t="shared" si="14"/>
        <v>0</v>
      </c>
      <c r="T499" s="23"/>
      <c r="U499" s="23"/>
      <c r="V499" s="23"/>
      <c r="W499" s="23"/>
      <c r="X499" s="23"/>
    </row>
    <row r="500" spans="1:24" x14ac:dyDescent="0.2">
      <c r="A500" s="18"/>
      <c r="B500" s="19" t="str">
        <f>IF(A500="","",VLOOKUP(Planilla!A500,#REF!,2,FALSE))</f>
        <v/>
      </c>
      <c r="C500" s="19" t="str">
        <f>IF(B500="","",VLOOKUP(Planilla!A500,#REF!,3,FALSE))</f>
        <v/>
      </c>
      <c r="D500" s="20"/>
      <c r="E500" s="21"/>
      <c r="F500" s="21"/>
      <c r="G500" s="21"/>
      <c r="H500" s="21"/>
      <c r="I500" s="36"/>
      <c r="J500" s="36"/>
      <c r="K500" s="21"/>
      <c r="L500" s="21"/>
      <c r="M500" s="24">
        <f>IF(K500="",0,VLOOKUP(K500,#REF!,2,FALSE))</f>
        <v>0</v>
      </c>
      <c r="N500" s="24">
        <f>IF(L500="",0,VLOOKUP(L500,#REF!,2,FALSE))</f>
        <v>0</v>
      </c>
      <c r="O500" s="24">
        <f t="shared" si="12"/>
        <v>0</v>
      </c>
      <c r="P500" s="24">
        <f>IF(F500="Barrido","",O500)</f>
        <v>0</v>
      </c>
      <c r="Q500" s="24" t="str">
        <f>IF(F500="Barrido",O500,"")</f>
        <v/>
      </c>
      <c r="R500" s="24">
        <f t="shared" si="13"/>
        <v>0</v>
      </c>
      <c r="S500" s="22">
        <f t="shared" si="14"/>
        <v>0</v>
      </c>
      <c r="T500" s="23"/>
      <c r="U500" s="23"/>
      <c r="V500" s="23"/>
      <c r="W500" s="23"/>
      <c r="X500" s="23"/>
    </row>
    <row r="501" spans="1:24" x14ac:dyDescent="0.2">
      <c r="A501" s="18"/>
      <c r="B501" s="19" t="str">
        <f>IF(A501="","",VLOOKUP(Planilla!A501,#REF!,2,FALSE))</f>
        <v/>
      </c>
      <c r="C501" s="19" t="str">
        <f>IF(B501="","",VLOOKUP(Planilla!A501,#REF!,3,FALSE))</f>
        <v/>
      </c>
      <c r="D501" s="20"/>
      <c r="E501" s="21"/>
      <c r="F501" s="21"/>
      <c r="G501" s="21"/>
      <c r="H501" s="21"/>
      <c r="I501" s="36"/>
      <c r="J501" s="36"/>
      <c r="K501" s="21"/>
      <c r="L501" s="21"/>
      <c r="M501" s="24">
        <f>IF(K501="",0,VLOOKUP(K501,#REF!,2,FALSE))</f>
        <v>0</v>
      </c>
      <c r="N501" s="24">
        <f>IF(L501="",0,VLOOKUP(L501,#REF!,2,FALSE))</f>
        <v>0</v>
      </c>
      <c r="O501" s="24">
        <f t="shared" si="12"/>
        <v>0</v>
      </c>
      <c r="P501" s="24">
        <f>IF(F501="Barrido","",O501)</f>
        <v>0</v>
      </c>
      <c r="Q501" s="24" t="str">
        <f>IF(F501="Barrido",O501,"")</f>
        <v/>
      </c>
      <c r="R501" s="24">
        <f t="shared" si="13"/>
        <v>0</v>
      </c>
      <c r="S501" s="22">
        <f t="shared" si="14"/>
        <v>0</v>
      </c>
      <c r="T501" s="23"/>
      <c r="U501" s="23"/>
      <c r="V501" s="23"/>
      <c r="W501" s="23"/>
      <c r="X501" s="23"/>
    </row>
    <row r="502" spans="1:24" x14ac:dyDescent="0.2">
      <c r="A502" s="18"/>
      <c r="B502" s="19" t="str">
        <f>IF(A502="","",VLOOKUP(Planilla!A502,#REF!,2,FALSE))</f>
        <v/>
      </c>
      <c r="C502" s="19" t="str">
        <f>IF(B502="","",VLOOKUP(Planilla!A502,#REF!,3,FALSE))</f>
        <v/>
      </c>
      <c r="D502" s="20"/>
      <c r="E502" s="21"/>
      <c r="F502" s="21"/>
      <c r="G502" s="21"/>
      <c r="H502" s="21"/>
      <c r="I502" s="36"/>
      <c r="J502" s="36"/>
      <c r="K502" s="21"/>
      <c r="L502" s="21"/>
      <c r="M502" s="24">
        <f>IF(K502="",0,VLOOKUP(K502,#REF!,2,FALSE))</f>
        <v>0</v>
      </c>
      <c r="N502" s="24">
        <f>IF(L502="",0,VLOOKUP(L502,#REF!,2,FALSE))</f>
        <v>0</v>
      </c>
      <c r="O502" s="24">
        <f t="shared" si="12"/>
        <v>0</v>
      </c>
      <c r="P502" s="24">
        <f>IF(F502="Barrido","",O502)</f>
        <v>0</v>
      </c>
      <c r="Q502" s="24" t="str">
        <f>IF(F502="Barrido",O502,"")</f>
        <v/>
      </c>
      <c r="R502" s="24">
        <f t="shared" si="13"/>
        <v>0</v>
      </c>
      <c r="S502" s="22">
        <f t="shared" si="14"/>
        <v>0</v>
      </c>
      <c r="T502" s="23"/>
      <c r="U502" s="23"/>
      <c r="V502" s="23"/>
      <c r="W502" s="23"/>
      <c r="X502" s="23"/>
    </row>
    <row r="503" spans="1:24" x14ac:dyDescent="0.2">
      <c r="A503" s="25"/>
      <c r="B503" s="26" t="str">
        <f>IF(A503="","",VLOOKUP(Planilla!A503,#REF!,2,FALSE))</f>
        <v/>
      </c>
      <c r="C503" s="26" t="str">
        <f>IF(B503="","",VLOOKUP(Planilla!A503,#REF!,3,FALSE))</f>
        <v/>
      </c>
      <c r="D503" s="27"/>
      <c r="E503" s="28"/>
      <c r="F503" s="28"/>
      <c r="G503" s="28"/>
      <c r="H503" s="28"/>
      <c r="I503" s="37"/>
      <c r="J503" s="37"/>
      <c r="K503" s="28"/>
      <c r="L503" s="28"/>
      <c r="M503" s="31">
        <f>IF(K503="",0,VLOOKUP(K503,#REF!,2,FALSE))</f>
        <v>0</v>
      </c>
      <c r="N503" s="31">
        <f>IF(L503="",0,VLOOKUP(L503,#REF!,2,FALSE))</f>
        <v>0</v>
      </c>
      <c r="O503" s="31">
        <f t="shared" si="12"/>
        <v>0</v>
      </c>
      <c r="P503" s="31">
        <f>IF(F503="Barrido","",O503)</f>
        <v>0</v>
      </c>
      <c r="Q503" s="31" t="str">
        <f>IF(F503="Barrido",O503,"")</f>
        <v/>
      </c>
      <c r="R503" s="31">
        <f t="shared" si="13"/>
        <v>0</v>
      </c>
      <c r="S503" s="29">
        <f t="shared" si="14"/>
        <v>0</v>
      </c>
      <c r="T503" s="30"/>
      <c r="U503" s="30"/>
      <c r="V503" s="30"/>
      <c r="W503" s="30"/>
      <c r="X503" s="30"/>
    </row>
  </sheetData>
  <autoFilter ref="A2:X503" xr:uid="{AD9BAB39-5B15-47CB-9BBA-C1765AF676F0}">
    <filterColumn colId="3">
      <filters>
        <filter val="Correctivo"/>
      </filters>
    </filterColumn>
  </autoFilter>
  <phoneticPr fontId="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87E9E0B-C166-497A-BE98-7B2095694E08}">
          <x14:formula1>
            <xm:f>#REF!</xm:f>
          </x14:formula1>
          <xm:sqref>D3:D503</xm:sqref>
        </x14:dataValidation>
        <x14:dataValidation type="list" allowBlank="1" showInputMessage="1" showErrorMessage="1" xr:uid="{D7E074EE-E072-4A7B-9A98-2D68996F9347}">
          <x14:formula1>
            <xm:f>#REF!</xm:f>
          </x14:formula1>
          <xm:sqref>E3:E503</xm:sqref>
        </x14:dataValidation>
        <x14:dataValidation type="list" allowBlank="1" showInputMessage="1" showErrorMessage="1" xr:uid="{EEC90A6D-6B6D-4E57-BAAC-AD5DA72481D0}">
          <x14:formula1>
            <xm:f>#REF!</xm:f>
          </x14:formula1>
          <xm:sqref>F3:F503</xm:sqref>
        </x14:dataValidation>
        <x14:dataValidation type="list" allowBlank="1" showInputMessage="1" showErrorMessage="1" xr:uid="{ED10F326-79D0-43FA-A719-01DFB9703132}">
          <x14:formula1>
            <xm:f>#REF!</xm:f>
          </x14:formula1>
          <xm:sqref>K3:L503</xm:sqref>
        </x14:dataValidation>
        <x14:dataValidation type="list" allowBlank="1" showInputMessage="1" showErrorMessage="1" xr:uid="{6B8F67C4-7C5F-4A82-AE50-151F7AE358D5}">
          <x14:formula1>
            <xm:f>#REF!</xm:f>
          </x14:formula1>
          <xm:sqref>H3:H503</xm:sqref>
        </x14:dataValidation>
        <x14:dataValidation type="list" allowBlank="1" showInputMessage="1" showErrorMessage="1" xr:uid="{0E24ECFF-AE0B-4A57-B1C7-D6BE639FA9EC}">
          <x14:formula1>
            <xm:f>#REF!</xm:f>
          </x14:formula1>
          <xm:sqref>G3:G503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NOVARA, Sebastian</dc:creator>
  <cp:keywords/>
  <dc:description/>
  <cp:lastModifiedBy>Rodriguez, Joel</cp:lastModifiedBy>
  <cp:revision/>
  <dcterms:created xsi:type="dcterms:W3CDTF">2025-04-17T13:45:02Z</dcterms:created>
  <dcterms:modified xsi:type="dcterms:W3CDTF">2026-01-13T11:21:04Z</dcterms:modified>
  <cp:category/>
  <cp:contentStatus/>
</cp:coreProperties>
</file>